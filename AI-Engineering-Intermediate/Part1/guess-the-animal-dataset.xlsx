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S" sheetId="1" r:id="rId5"/>
    <sheet state="visible" name="Dog Breed Identification" sheetId="2" r:id="rId6"/>
    <sheet state="visible" name="Cat Breed Identification" sheetId="3" r:id="rId7"/>
    <sheet state="visible" name="Horse Breed Identification" sheetId="4" r:id="rId8"/>
    <sheet state="visible" name="Dinosaur Species Identification" sheetId="5" r:id="rId9"/>
  </sheets>
  <definedNames/>
  <calcPr/>
</workbook>
</file>

<file path=xl/sharedStrings.xml><?xml version="1.0" encoding="utf-8"?>
<sst xmlns="http://schemas.openxmlformats.org/spreadsheetml/2006/main" count="917" uniqueCount="580">
  <si>
    <t>Dog Breeds w characteristics:</t>
  </si>
  <si>
    <t xml:space="preserve">Provide me a list of the 25 most popular dog breeds and a few key attributes about each item, including country and contient of origin, roughly when each breed was created, color, life span, use, personality traits, and known illnesses or ailments that are common to the breed, if known.
</t>
  </si>
  <si>
    <t>Please output a table with the first 10 items above</t>
  </si>
  <si>
    <t>Show the next 10 items in a table</t>
  </si>
  <si>
    <t>Show the first 10 rows in JSON format</t>
  </si>
  <si>
    <t>Show the next 10 items in JSON format</t>
  </si>
  <si>
    <t>Cat Breeds w characteristics:</t>
  </si>
  <si>
    <t xml:space="preserve">Provide me a list of the 20 most popular cat breeds and a few key attributes about each item, including country and continent of origin, color, life span, history, and personality traits.
</t>
  </si>
  <si>
    <t>Horse Breeds w characteristics:</t>
  </si>
  <si>
    <t xml:space="preserve">Provide me a list of the 20 most popular horse breeds and a few key attributes about each item, including country and continent of origin, when it was created, conservation status, uses, weight, height, color, and distinguishing features. </t>
  </si>
  <si>
    <t>Dinosaur species w characteristics:</t>
  </si>
  <si>
    <t>Provide me with a list of 20 of the most significant known dinosaurs. Limit the list to real dinosaurs, do not include fictional ones. In addition to their common names, include information like the Clade (e.g. Saurischia), Family, Genus, Species, locations found, social behavior (if known), eating habits, and rough size.</t>
  </si>
  <si>
    <t>Breed</t>
  </si>
  <si>
    <t>Country</t>
  </si>
  <si>
    <t>Continent</t>
  </si>
  <si>
    <t>Color</t>
  </si>
  <si>
    <t>Lifespan</t>
  </si>
  <si>
    <t>Use</t>
  </si>
  <si>
    <t>Personality Traits</t>
  </si>
  <si>
    <t>Creation Time</t>
  </si>
  <si>
    <t>Known Health Issues</t>
  </si>
  <si>
    <t>Google Search</t>
  </si>
  <si>
    <t>INFO</t>
  </si>
  <si>
    <t>Labrador Retriever</t>
  </si>
  <si>
    <t>Canada</t>
  </si>
  <si>
    <t>North America</t>
  </si>
  <si>
    <t>Black, yellow, chocolate</t>
  </si>
  <si>
    <t>10-12 years</t>
  </si>
  <si>
    <t>Companion, service dog</t>
  </si>
  <si>
    <t>Friendly, outgoing, high-spirited</t>
  </si>
  <si>
    <t>Early 1800s</t>
  </si>
  <si>
    <t>Hip dysplasia, obesity</t>
  </si>
  <si>
    <t>Q38726</t>
  </si>
  <si>
    <t>German Shepherd</t>
  </si>
  <si>
    <t>Germany</t>
  </si>
  <si>
    <t>Europe</t>
  </si>
  <si>
    <t>Black and tan, sable</t>
  </si>
  <si>
    <t>9-13 years</t>
  </si>
  <si>
    <t>Police, military, service</t>
  </si>
  <si>
    <t>Intelligent, loyal, courageous</t>
  </si>
  <si>
    <t>Late 1800s</t>
  </si>
  <si>
    <t>Hip dysplasia, bloat</t>
  </si>
  <si>
    <t>Q39160</t>
  </si>
  <si>
    <t>Golden Retriever</t>
  </si>
  <si>
    <t>Scotland</t>
  </si>
  <si>
    <t>Golden shades</t>
  </si>
  <si>
    <t>Friendly, intelligent, devoted</t>
  </si>
  <si>
    <t>Mid-1800s</t>
  </si>
  <si>
    <t>Cancer, hip dysplasia</t>
  </si>
  <si>
    <t>Q559850</t>
  </si>
  <si>
    <t>Afghan Hound</t>
  </si>
  <si>
    <t>Afghanistan</t>
  </si>
  <si>
    <t>Asia</t>
  </si>
  <si>
    <t>Various colors</t>
  </si>
  <si>
    <t>12-14 years</t>
  </si>
  <si>
    <t>Hunting, companion</t>
  </si>
  <si>
    <t>Dignified, independent, aloof</t>
  </si>
  <si>
    <t>Ancient times</t>
  </si>
  <si>
    <t>Hip dysplasia, cataracts</t>
  </si>
  <si>
    <t>Q37577</t>
  </si>
  <si>
    <t>Saluki</t>
  </si>
  <si>
    <t>Fertile Crescent</t>
  </si>
  <si>
    <t>Aloof, gentle, dignified</t>
  </si>
  <si>
    <t>Heart issues, cancer</t>
  </si>
  <si>
    <t>Q38985</t>
  </si>
  <si>
    <t>French Bulldog</t>
  </si>
  <si>
    <t>France</t>
  </si>
  <si>
    <t>Variety of colors</t>
  </si>
  <si>
    <t>Companion</t>
  </si>
  <si>
    <t>Affectionate, easygoing, playful</t>
  </si>
  <si>
    <t>19th century</t>
  </si>
  <si>
    <t>Breathing issues, heat sensitivity</t>
  </si>
  <si>
    <t>Q3241127</t>
  </si>
  <si>
    <t>Bulldog</t>
  </si>
  <si>
    <t>England</t>
  </si>
  <si>
    <t>Brindle, white, red, fawn</t>
  </si>
  <si>
    <t>8-10 years</t>
  </si>
  <si>
    <t>Docile, willful, friendly</t>
  </si>
  <si>
    <t>13th century</t>
  </si>
  <si>
    <t>Hip dysplasia, breathing problems</t>
  </si>
  <si>
    <t>Q42314</t>
  </si>
  <si>
    <t>Beagle</t>
  </si>
  <si>
    <t>Tri-color, lemon, red and white</t>
  </si>
  <si>
    <t>10-15 years</t>
  </si>
  <si>
    <t>Curious, friendly, merry</t>
  </si>
  <si>
    <t>16th century</t>
  </si>
  <si>
    <t>Epilepsy, heart conditions</t>
  </si>
  <si>
    <t>Q42741</t>
  </si>
  <si>
    <t>Poodle</t>
  </si>
  <si>
    <t>Germany/France</t>
  </si>
  <si>
    <t>Variety of solid colors</t>
  </si>
  <si>
    <t>10-18 years</t>
  </si>
  <si>
    <t>Companion, show dog</t>
  </si>
  <si>
    <t>Intelligent, active, alert</t>
  </si>
  <si>
    <t>15th century</t>
  </si>
  <si>
    <t>Hip dysplasia, eye diseases</t>
  </si>
  <si>
    <t>Q39201</t>
  </si>
  <si>
    <t>Rottweiler</t>
  </si>
  <si>
    <t>Black with rust or mahogany marks</t>
  </si>
  <si>
    <t>Guard dog, police, service</t>
  </si>
  <si>
    <t>Confident, fearless, good-natured</t>
  </si>
  <si>
    <t>Middle Ages</t>
  </si>
  <si>
    <t>Hip dysplasia, heart problems</t>
  </si>
  <si>
    <t>Q43070</t>
  </si>
  <si>
    <t>Yorkshire Terrier</t>
  </si>
  <si>
    <t>Blue and tan</t>
  </si>
  <si>
    <t>13-16 years</t>
  </si>
  <si>
    <t>Bold, independent, confident</t>
  </si>
  <si>
    <t>Dental issues, hypoglycemia</t>
  </si>
  <si>
    <t>Boxer</t>
  </si>
  <si>
    <t>Fawn, brindle, white</t>
  </si>
  <si>
    <t>Working, companion</t>
  </si>
  <si>
    <t>Fun-loving, energetic, loyal</t>
  </si>
  <si>
    <t>Cancer, heart conditions</t>
  </si>
  <si>
    <t>Dachshund</t>
  </si>
  <si>
    <t>Variety of colors and patterns</t>
  </si>
  <si>
    <t>12-16 years</t>
  </si>
  <si>
    <t>Playful, curious, brave</t>
  </si>
  <si>
    <t>Back problems, diabetes</t>
  </si>
  <si>
    <t>Siberian Husky</t>
  </si>
  <si>
    <t>Siberia</t>
  </si>
  <si>
    <t>Sled pulling, companion</t>
  </si>
  <si>
    <t>Outgoing, mischievous, loyal</t>
  </si>
  <si>
    <t>Eye conditions, hip dysplasia</t>
  </si>
  <si>
    <t>Australian Shepherd</t>
  </si>
  <si>
    <t>United States</t>
  </si>
  <si>
    <t>Blue merle, black, red merle, red</t>
  </si>
  <si>
    <t>12-15 years</t>
  </si>
  <si>
    <t>Herding, companion</t>
  </si>
  <si>
    <t>Smart, work-oriented, exuberant</t>
  </si>
  <si>
    <t>Hip dysplasia, epilepsy</t>
  </si>
  <si>
    <t>Great Dane</t>
  </si>
  <si>
    <t>Fawn, brindle, blue, black, harlequin</t>
  </si>
  <si>
    <t>7-10 years</t>
  </si>
  <si>
    <t>Companion, guard dog</t>
  </si>
  <si>
    <t>Gentle, loving, friendly</t>
  </si>
  <si>
    <t>Hip dysplasia, heart conditions</t>
  </si>
  <si>
    <t>Doberman Pinscher</t>
  </si>
  <si>
    <t>Black, red, blue, fawn</t>
  </si>
  <si>
    <t>Guard dog, police, companion</t>
  </si>
  <si>
    <t>Energetic, watchful, fearless</t>
  </si>
  <si>
    <t>Late 19th century</t>
  </si>
  <si>
    <t>Cardiomyopathy, Wobbler syndrome</t>
  </si>
  <si>
    <t>Cavalier King Charles Spaniel</t>
  </si>
  <si>
    <t>United Kingdom</t>
  </si>
  <si>
    <t>Blenheim, tricolor, black &amp; tan, ruby</t>
  </si>
  <si>
    <t>9-14 years</t>
  </si>
  <si>
    <t>Affectionate, gentle, graceful</t>
  </si>
  <si>
    <t>17th century</t>
  </si>
  <si>
    <t>Heart issues, Syringomyelia</t>
  </si>
  <si>
    <t>Miniature Schnauzer</t>
  </si>
  <si>
    <t>Black, silver, salt &amp; pepper</t>
  </si>
  <si>
    <t>Companion, ratting</t>
  </si>
  <si>
    <t>Friendly, smart, obedient</t>
  </si>
  <si>
    <t>Pancreatitis, urinary stones</t>
  </si>
  <si>
    <t>Shih Tzu</t>
  </si>
  <si>
    <t>Tibet/China</t>
  </si>
  <si>
    <t>10-16 years</t>
  </si>
  <si>
    <t>Affectionate, playful, outgoing</t>
  </si>
  <si>
    <t>Eye problems, breathing issues</t>
  </si>
  <si>
    <t>Boston Terrier</t>
  </si>
  <si>
    <t>Brindle, black &amp; white, seal &amp; white</t>
  </si>
  <si>
    <t>11-13 years</t>
  </si>
  <si>
    <t>Friendly, bright, amusing</t>
  </si>
  <si>
    <t>Breathing issues, eye problems</t>
  </si>
  <si>
    <t>Pomeranian</t>
  </si>
  <si>
    <t>Germany/Poland</t>
  </si>
  <si>
    <t>Playful, friendly, intelligent</t>
  </si>
  <si>
    <t>18th century</t>
  </si>
  <si>
    <t>Dental issues, luxating patella</t>
  </si>
  <si>
    <t>Havanese</t>
  </si>
  <si>
    <t>Cuba</t>
  </si>
  <si>
    <t>14-16 years</t>
  </si>
  <si>
    <t>Affectionate, smart, sociable</t>
  </si>
  <si>
    <t>Hip dysplasia, hearing problems</t>
  </si>
  <si>
    <t>Shetland Sheepdog</t>
  </si>
  <si>
    <t>Sable, black, blue merle</t>
  </si>
  <si>
    <t>Playful, energetic, affectionate</t>
  </si>
  <si>
    <t>Hip dysplasia, eye problems</t>
  </si>
  <si>
    <t>Bernese Mountain Dog</t>
  </si>
  <si>
    <t>Switzerland</t>
  </si>
  <si>
    <t>Tri-colored</t>
  </si>
  <si>
    <t>Good-natured, calm, strong</t>
  </si>
  <si>
    <t>Cane Corso</t>
  </si>
  <si>
    <t>Italy</t>
  </si>
  <si>
    <t>Black, fawn, gray, red</t>
  </si>
  <si>
    <t>Guard dog, companion</t>
  </si>
  <si>
    <t>Intelligent, majestic, loyal</t>
  </si>
  <si>
    <t>Ancient Roman times</t>
  </si>
  <si>
    <t>Chihuahua</t>
  </si>
  <si>
    <t>Mexico</t>
  </si>
  <si>
    <t>12-20 years</t>
  </si>
  <si>
    <t>Spirited, loyal, alert</t>
  </si>
  <si>
    <t>Heart problems, dental issues</t>
  </si>
  <si>
    <t>Maltese</t>
  </si>
  <si>
    <t>Malta</t>
  </si>
  <si>
    <t>White</t>
  </si>
  <si>
    <t>Playful, charming, gentle</t>
  </si>
  <si>
    <t>Dental issues, patellar luxation</t>
  </si>
  <si>
    <t>Bichon Frise</t>
  </si>
  <si>
    <t>Spain/France</t>
  </si>
  <si>
    <t>14-15 years</t>
  </si>
  <si>
    <t>Cheerful, playful, gentle</t>
  </si>
  <si>
    <t>14th century</t>
  </si>
  <si>
    <t>Allergies, bladder issues</t>
  </si>
  <si>
    <t>Collie</t>
  </si>
  <si>
    <t>Sable, tri-color, blue merle</t>
  </si>
  <si>
    <t>Intelligent, loyal, friendly</t>
  </si>
  <si>
    <t>Collie eye anomaly, hip dysplasia</t>
  </si>
  <si>
    <t>Newfoundland</t>
  </si>
  <si>
    <t>Black, brown, gray, white and black</t>
  </si>
  <si>
    <t>Gentle, patient, loyal</t>
  </si>
  <si>
    <t>Hip dysplasia, heart issues</t>
  </si>
  <si>
    <t>Weimaraner</t>
  </si>
  <si>
    <t>Silver-gray</t>
  </si>
  <si>
    <t>10-13 years</t>
  </si>
  <si>
    <t>Energetic, intelligent, affectionate</t>
  </si>
  <si>
    <t>Gastric torsion, hip dysplasia</t>
  </si>
  <si>
    <t>Saint Bernard</t>
  </si>
  <si>
    <t>Red &amp; white, brownish-yellow</t>
  </si>
  <si>
    <t>Gentle, friendly, calm</t>
  </si>
  <si>
    <t>Irish Setter</t>
  </si>
  <si>
    <t>Ireland</t>
  </si>
  <si>
    <t>Red</t>
  </si>
  <si>
    <t>Energetic, playful, friendly</t>
  </si>
  <si>
    <t>Airedale Terrier</t>
  </si>
  <si>
    <t>Tan with black or grizzle saddle</t>
  </si>
  <si>
    <t>11-14 years</t>
  </si>
  <si>
    <t>Intelligent, confident, friendly</t>
  </si>
  <si>
    <t>Hip dysplasia, skin infections</t>
  </si>
  <si>
    <t>Dalmatian</t>
  </si>
  <si>
    <t>Croatia</t>
  </si>
  <si>
    <t>White with black or liver spots</t>
  </si>
  <si>
    <t>Companion, working</t>
  </si>
  <si>
    <t>Outgoing, energetic, playful</t>
  </si>
  <si>
    <t>Early 19th century</t>
  </si>
  <si>
    <t>Deafness, urinary stones</t>
  </si>
  <si>
    <t>Papillon</t>
  </si>
  <si>
    <t>White with patches of color</t>
  </si>
  <si>
    <t>13-15 years</t>
  </si>
  <si>
    <t>Friendly, alert, intelligent</t>
  </si>
  <si>
    <t>History</t>
  </si>
  <si>
    <t>Personality</t>
  </si>
  <si>
    <t>Persian</t>
  </si>
  <si>
    <t>Iran</t>
  </si>
  <si>
    <t>Wide range</t>
  </si>
  <si>
    <t>12-17 years</t>
  </si>
  <si>
    <t>One of the oldest cat breeds</t>
  </si>
  <si>
    <t>Calm, affectionate, reserved</t>
  </si>
  <si>
    <t>Maine Coon</t>
  </si>
  <si>
    <t>Various</t>
  </si>
  <si>
    <t>Known for its large size</t>
  </si>
  <si>
    <t>Friendly, sociable, good-natured</t>
  </si>
  <si>
    <t>Siamese</t>
  </si>
  <si>
    <t>Thailand</t>
  </si>
  <si>
    <t>Cream or fawn with dark points</t>
  </si>
  <si>
    <t>15-20 years</t>
  </si>
  <si>
    <t>Ancient breed</t>
  </si>
  <si>
    <t>Vocal, affectionate, social</t>
  </si>
  <si>
    <t>Ragdoll</t>
  </si>
  <si>
    <t>Light body with darker points</t>
  </si>
  <si>
    <t>Known for going limp when picked up</t>
  </si>
  <si>
    <t>Gentle, calm, friendly</t>
  </si>
  <si>
    <t>Bengal</t>
  </si>
  <si>
    <t>Spotted or marbled</t>
  </si>
  <si>
    <t>Hybrids of domestic cats and the Asian leopard cat</t>
  </si>
  <si>
    <t>Active, intelligent, playful</t>
  </si>
  <si>
    <t>British Shorthair</t>
  </si>
  <si>
    <t>Blue is classic, other colors exist</t>
  </si>
  <si>
    <t>One of the world’s oldest cat breeds</t>
  </si>
  <si>
    <t>Reserved, independent, loyal</t>
  </si>
  <si>
    <t>Sphynx</t>
  </si>
  <si>
    <t>Varies, mostly hairless</t>
  </si>
  <si>
    <t>Result of a natural genetic mutation</t>
  </si>
  <si>
    <t>Energetic, affectionate, attention-seeking</t>
  </si>
  <si>
    <t>Scottish Fold</t>
  </si>
  <si>
    <t>11-15 years</t>
  </si>
  <si>
    <t>Known for unique folded ears</t>
  </si>
  <si>
    <t>Sweet-tempered, calm, good with people</t>
  </si>
  <si>
    <t>Abyssinian</t>
  </si>
  <si>
    <t>Ethiopia</t>
  </si>
  <si>
    <t>Africa</t>
  </si>
  <si>
    <t>Ticked coat, usually ruddy, fawn, or cinnamon</t>
  </si>
  <si>
    <t>9-15 years</t>
  </si>
  <si>
    <t>One of the oldest known breeds</t>
  </si>
  <si>
    <t>Active, curious, playful</t>
  </si>
  <si>
    <t>Birman</t>
  </si>
  <si>
    <t>Burma</t>
  </si>
  <si>
    <t>Pale body with darker points, white gloves on paws</t>
  </si>
  <si>
    <t>Sacred cat of Burma</t>
  </si>
  <si>
    <t>Gentle, affectionate, sociable</t>
  </si>
  <si>
    <t>Oriental Shorthair</t>
  </si>
  <si>
    <t>Over 300 different colors and patterns</t>
  </si>
  <si>
    <t>Developed to explore different colors and patterns</t>
  </si>
  <si>
    <t>Intelligent, social, vocal</t>
  </si>
  <si>
    <t>Russian Blue</t>
  </si>
  <si>
    <t>Russia</t>
  </si>
  <si>
    <t>Blue-gray with a silvery sheen</t>
  </si>
  <si>
    <t>Known for its striking coat color and green eyes</t>
  </si>
  <si>
    <t>Shy with strangers, loyal and affectionate with family</t>
  </si>
  <si>
    <t>Norwegian Forest Cat</t>
  </si>
  <si>
    <t>Norway</t>
  </si>
  <si>
    <t>Various colors and patterns</t>
  </si>
  <si>
    <t>Adapted to cold climates, Norse folklore</t>
  </si>
  <si>
    <t>Gentle, friendly, good with families</t>
  </si>
  <si>
    <t>Devon Rex</t>
  </si>
  <si>
    <t>Known for its curly coat and large ears</t>
  </si>
  <si>
    <t>Playful, active, mischievous</t>
  </si>
  <si>
    <t>Himalayan</t>
  </si>
  <si>
    <t>Similar to Siamese points with long fur</t>
  </si>
  <si>
    <t>Created in the 1950s, Persian and Siamese mix</t>
  </si>
  <si>
    <t>Gentle, calm, affectionate</t>
  </si>
  <si>
    <t>American Shorthair</t>
  </si>
  <si>
    <t>Descended from European cats</t>
  </si>
  <si>
    <t>Friendly, adaptable, good with families</t>
  </si>
  <si>
    <t>Exotic Shorthair</t>
  </si>
  <si>
    <t>Similar to Persians, wide range of colors</t>
  </si>
  <si>
    <t>Short-haired version of the Persian</t>
  </si>
  <si>
    <t>Calm, affectionate, less maintenance than Persians</t>
  </si>
  <si>
    <t>Turkish Angora</t>
  </si>
  <si>
    <t>Turkey</t>
  </si>
  <si>
    <t>Asia/Europe</t>
  </si>
  <si>
    <t>Various, often white</t>
  </si>
  <si>
    <t>12-18 years</t>
  </si>
  <si>
    <t>One of the oldest natural breeds from Ankara</t>
  </si>
  <si>
    <t>Intelligent, active, sociable</t>
  </si>
  <si>
    <t>Balinese</t>
  </si>
  <si>
    <t>Pointed colors like the Siamese, with longer fur</t>
  </si>
  <si>
    <t>18-22 years</t>
  </si>
  <si>
    <t>Developed as a long-haired variety of the Siamese</t>
  </si>
  <si>
    <t>Affectionate, vocal, intelligent</t>
  </si>
  <si>
    <t>Manx</t>
  </si>
  <si>
    <t>Isle of Man</t>
  </si>
  <si>
    <t>8-14 years</t>
  </si>
  <si>
    <t>Known for its taillessness</t>
  </si>
  <si>
    <t>Friendly, playful, good with families</t>
  </si>
  <si>
    <t>Felis catus</t>
  </si>
  <si>
    <t>#</t>
  </si>
  <si>
    <t>Creation</t>
  </si>
  <si>
    <t>Conservation Status</t>
  </si>
  <si>
    <t>Uses</t>
  </si>
  <si>
    <t>Weight</t>
  </si>
  <si>
    <t>Height</t>
  </si>
  <si>
    <t>Distinguishing Features</t>
  </si>
  <si>
    <t>Arabian</t>
  </si>
  <si>
    <t>Arabian Peninsula</t>
  </si>
  <si>
    <t>Ancient</t>
  </si>
  <si>
    <t>Not at risk</t>
  </si>
  <si>
    <t>Endurance riding, show</t>
  </si>
  <si>
    <t>800-1,000 lbs</t>
  </si>
  <si>
    <t>14.1-15.1 hands</t>
  </si>
  <si>
    <t>Bay, gray, chestnut, black</t>
  </si>
  <si>
    <t>Dished face, high tail carriage</t>
  </si>
  <si>
    <t>Thoroughbred</t>
  </si>
  <si>
    <t>Late 17th to early 18th century</t>
  </si>
  <si>
    <t>Racing, show jumping</t>
  </si>
  <si>
    <t>1,000-1,200 lbs</t>
  </si>
  <si>
    <t>15.2-17.0 hands</t>
  </si>
  <si>
    <t>Bay, brown, black, chestnut, gray</t>
  </si>
  <si>
    <t>Tall, slim, athletic build</t>
  </si>
  <si>
    <t>Quarter Horse</t>
  </si>
  <si>
    <t>Rodeo, ranch work, racing</t>
  </si>
  <si>
    <t>950-1,200 lbs</t>
  </si>
  <si>
    <t>14.3-16.0 hands</t>
  </si>
  <si>
    <t>All colors, often bay or sorrel</t>
  </si>
  <si>
    <t>Muscular body, broad chest</t>
  </si>
  <si>
    <t>Appaloosa</t>
  </si>
  <si>
    <t>Trail riding, western events</t>
  </si>
  <si>
    <t>950-1,250 lbs</t>
  </si>
  <si>
    <t>14.2-16.0 hands</t>
  </si>
  <si>
    <t>Spotted coat patterns</t>
  </si>
  <si>
    <t>Leopard-spotted coat pattern</t>
  </si>
  <si>
    <t>Andalusian</t>
  </si>
  <si>
    <t>Spain</t>
  </si>
  <si>
    <t>Dressage, show, jumping</t>
  </si>
  <si>
    <t>900-1,100 lbs</t>
  </si>
  <si>
    <t>15.0-16.2 hands</t>
  </si>
  <si>
    <t>Usually gray or bay</t>
  </si>
  <si>
    <t>Strong, compact body; arched neck</t>
  </si>
  <si>
    <t>Clydesdale</t>
  </si>
  <si>
    <t>Mid-18th century</t>
  </si>
  <si>
    <t>At risk</t>
  </si>
  <si>
    <t>Draft, show, riding</t>
  </si>
  <si>
    <t>1,600-2,200 lbs</t>
  </si>
  <si>
    <t>16.0-18.0 hands</t>
  </si>
  <si>
    <t>Bay, brown, black, roan</t>
  </si>
  <si>
    <t>Feathering on legs, large size</t>
  </si>
  <si>
    <t>Friesian</t>
  </si>
  <si>
    <t>Netherlands</t>
  </si>
  <si>
    <t>Dressage, driving, show</t>
  </si>
  <si>
    <t>1,200-1,400 lbs</t>
  </si>
  <si>
    <t>15.0-17.0 hands</t>
  </si>
  <si>
    <t>Black</t>
  </si>
  <si>
    <t>Thick mane and tail, movement</t>
  </si>
  <si>
    <t>Morgan</t>
  </si>
  <si>
    <t>Late 18th century</t>
  </si>
  <si>
    <t>Riding, driving, show</t>
  </si>
  <si>
    <t>14.1-15.2 hands</t>
  </si>
  <si>
    <t>Bay, black, chestnut</t>
  </si>
  <si>
    <t>Compact, muscular build</t>
  </si>
  <si>
    <t>Tennessee Walker</t>
  </si>
  <si>
    <t>Trail riding, show</t>
  </si>
  <si>
    <t>900-1,200 lbs</t>
  </si>
  <si>
    <t>14.3-17.0 hands</t>
  </si>
  <si>
    <t>All colors</t>
  </si>
  <si>
    <t>Unique running walk, smooth gaits</t>
  </si>
  <si>
    <t>Paint Horse</t>
  </si>
  <si>
    <t>Mid-20th century</t>
  </si>
  <si>
    <t>Western riding, show, rodeo</t>
  </si>
  <si>
    <t>Combination of white and other colors</t>
  </si>
  <si>
    <t>Pinto patterning, stock horse conformation</t>
  </si>
  <si>
    <t>Shire</t>
  </si>
  <si>
    <t>Draft, agricultural work</t>
  </si>
  <si>
    <t>1,800-2,400 lbs</t>
  </si>
  <si>
    <t>16.0-17.3 hands</t>
  </si>
  <si>
    <t>Black, bay, gray</t>
  </si>
  <si>
    <t>Tall stature, feathering on legs</t>
  </si>
  <si>
    <t>Hanoverian</t>
  </si>
  <si>
    <t>Dressage, show jumping, eventing</t>
  </si>
  <si>
    <t>1,100-1,300 lbs</t>
  </si>
  <si>
    <t>15.3-17.2 hands</t>
  </si>
  <si>
    <t>Athletic, elegant movement</t>
  </si>
  <si>
    <t>Lipizzan</t>
  </si>
  <si>
    <t>Austria</t>
  </si>
  <si>
    <t>Dressage, driving, performance</t>
  </si>
  <si>
    <t>1,000-1,300 lbs</t>
  </si>
  <si>
    <t>14.2-15.2 hands</t>
  </si>
  <si>
    <t>Born dark, turns white</t>
  </si>
  <si>
    <t>Strongly muscled, baroque build</t>
  </si>
  <si>
    <t>Mustang</t>
  </si>
  <si>
    <t>Descendants of Spanish horses</t>
  </si>
  <si>
    <t>Protected</t>
  </si>
  <si>
    <t>Riding, endurance, trail</t>
  </si>
  <si>
    <t>14.0-15.0 hands</t>
  </si>
  <si>
    <t>Hardy, wild or semi-wild status</t>
  </si>
  <si>
    <t>Belgian Draft</t>
  </si>
  <si>
    <t>Belgium</t>
  </si>
  <si>
    <t>Early 20th century</t>
  </si>
  <si>
    <t>Draft, farm work</t>
  </si>
  <si>
    <t>1,800-2,200 lbs</t>
  </si>
  <si>
    <t>16.0-17.0 hands</t>
  </si>
  <si>
    <t>Chestnut, roan, bay</t>
  </si>
  <si>
    <t>Massive build, gentle nature</t>
  </si>
  <si>
    <t>Welsh Pony and Cob</t>
  </si>
  <si>
    <t>Wales</t>
  </si>
  <si>
    <t>Riding, driving, competition</t>
  </si>
  <si>
    <t>Varies by section</t>
  </si>
  <si>
    <t>Versatile, good temperament</t>
  </si>
  <si>
    <t>Akhal-Teke</t>
  </si>
  <si>
    <t>Turkmenistan</t>
  </si>
  <si>
    <t>Sport, show, endurance</t>
  </si>
  <si>
    <t>900-1,000 lbs</t>
  </si>
  <si>
    <t>14.0-16.0 hands</t>
  </si>
  <si>
    <t>Golden, palomino, bay, black</t>
  </si>
  <si>
    <t>Metallic sheen, slim build</t>
  </si>
  <si>
    <t>Holsteiner</t>
  </si>
  <si>
    <t>Show jumping, dressage</t>
  </si>
  <si>
    <t>Bay, black, gray, chestnut</t>
  </si>
  <si>
    <t>Powerful jumper, athletic</t>
  </si>
  <si>
    <t>Icelandic</t>
  </si>
  <si>
    <t>Iceland</t>
  </si>
  <si>
    <t>9th century</t>
  </si>
  <si>
    <t>Riding, showing</t>
  </si>
  <si>
    <t>730-840 lbs</t>
  </si>
  <si>
    <t>13.0-14.0 hands</t>
  </si>
  <si>
    <t>Five gaits, sturdy build</t>
  </si>
  <si>
    <t>Cleveland Bay</t>
  </si>
  <si>
    <t>Critical</t>
  </si>
  <si>
    <t>Carriage, riding, competition</t>
  </si>
  <si>
    <t>1,200-1,500 lbs</t>
  </si>
  <si>
    <t>16.0-16.2 hands</t>
  </si>
  <si>
    <t>Bay</t>
  </si>
  <si>
    <t>Strong, consistent color</t>
  </si>
  <si>
    <t>Common Name</t>
  </si>
  <si>
    <t>Clade</t>
  </si>
  <si>
    <t>Family</t>
  </si>
  <si>
    <t>Genus</t>
  </si>
  <si>
    <t>Species</t>
  </si>
  <si>
    <t>Locations Found</t>
  </si>
  <si>
    <t>Social Behavior</t>
  </si>
  <si>
    <t>Eating Habits</t>
  </si>
  <si>
    <t>Rough Size</t>
  </si>
  <si>
    <t>Tyrannosaurus rex</t>
  </si>
  <si>
    <t>Theropoda</t>
  </si>
  <si>
    <t>Tyrannosauridae</t>
  </si>
  <si>
    <t>Tyrannosaurus</t>
  </si>
  <si>
    <t>T. rex</t>
  </si>
  <si>
    <t>Solitary (debated)</t>
  </si>
  <si>
    <t>Carnivore</t>
  </si>
  <si>
    <t>Up to 40 feet long, 12 feet tall</t>
  </si>
  <si>
    <t>Velociraptor</t>
  </si>
  <si>
    <t>Dromaeosauridae</t>
  </si>
  <si>
    <t>V. mongoliensis</t>
  </si>
  <si>
    <t>Mongolia</t>
  </si>
  <si>
    <t>Possibly pack hunters</t>
  </si>
  <si>
    <t>About 6.8 feet long</t>
  </si>
  <si>
    <t>Triceratops</t>
  </si>
  <si>
    <t>Ceratopsia</t>
  </si>
  <si>
    <t>Ceratopsidae</t>
  </si>
  <si>
    <t>T. horridus, T. prorsus</t>
  </si>
  <si>
    <t>Possibly social</t>
  </si>
  <si>
    <t>Herbivore</t>
  </si>
  <si>
    <t>Up to 30 feet long, 10 feet tall</t>
  </si>
  <si>
    <t>Stegosaurus</t>
  </si>
  <si>
    <t>Thyreophora</t>
  </si>
  <si>
    <t>Stegosauridae</t>
  </si>
  <si>
    <t>S. stenops, others</t>
  </si>
  <si>
    <t>North America, Europe</t>
  </si>
  <si>
    <t>Unknown</t>
  </si>
  <si>
    <t>Up to 30 feet long</t>
  </si>
  <si>
    <t>Brachiosaurus</t>
  </si>
  <si>
    <t>Sauropoda</t>
  </si>
  <si>
    <t>Brachiosauridae</t>
  </si>
  <si>
    <t>B. altithorax</t>
  </si>
  <si>
    <t>North America, Africa</t>
  </si>
  <si>
    <t>Up to 85 feet long, 40-50 feet tall</t>
  </si>
  <si>
    <t>Spinosaurus</t>
  </si>
  <si>
    <t>Spinosauridae</t>
  </si>
  <si>
    <t>S. aegyptiacus</t>
  </si>
  <si>
    <t>North Africa</t>
  </si>
  <si>
    <t>Likely solitary</t>
  </si>
  <si>
    <t>Carnivore, possibly piscivorous</t>
  </si>
  <si>
    <t>Up to 59 feet long</t>
  </si>
  <si>
    <t>Allosaurus</t>
  </si>
  <si>
    <t>Allosauridae</t>
  </si>
  <si>
    <t>A. fragilis, others</t>
  </si>
  <si>
    <t>North America, possibly Africa</t>
  </si>
  <si>
    <t>Solitary or pack (debated)</t>
  </si>
  <si>
    <t>Up to 28 feet long</t>
  </si>
  <si>
    <t>Diplodocus</t>
  </si>
  <si>
    <t>Diplodocidae</t>
  </si>
  <si>
    <t>D. longus, others</t>
  </si>
  <si>
    <t>Up to 100 feet long</t>
  </si>
  <si>
    <t>Apatosaurus</t>
  </si>
  <si>
    <t>A. ajax, A. louisae</t>
  </si>
  <si>
    <t>Up to 75 feet long</t>
  </si>
  <si>
    <t>Ankylosaurus</t>
  </si>
  <si>
    <t>Ankylosauridae</t>
  </si>
  <si>
    <t>A. magniventris</t>
  </si>
  <si>
    <t>Parasaurolophus</t>
  </si>
  <si>
    <t>Ornithopoda</t>
  </si>
  <si>
    <t>Hadrosauridae</t>
  </si>
  <si>
    <t>P. walkeri, others</t>
  </si>
  <si>
    <t>Up to 31 feet long</t>
  </si>
  <si>
    <t>Iguanodon</t>
  </si>
  <si>
    <t>Iguanodontidae</t>
  </si>
  <si>
    <t>I. bernissartensis, others</t>
  </si>
  <si>
    <t>Up to 33 feet long</t>
  </si>
  <si>
    <t>Carnotaurus</t>
  </si>
  <si>
    <t>Abelisauridae</t>
  </si>
  <si>
    <t>C. sastrei</t>
  </si>
  <si>
    <t>South America</t>
  </si>
  <si>
    <t>Deinonychus</t>
  </si>
  <si>
    <t>D. antirrhopus</t>
  </si>
  <si>
    <t>Up to 11 feet long</t>
  </si>
  <si>
    <t>Giganotosaurus</t>
  </si>
  <si>
    <t>Carcharodontosauridae</t>
  </si>
  <si>
    <t>G. carolinii</t>
  </si>
  <si>
    <t>Up to 43 feet long</t>
  </si>
  <si>
    <t>Maiasaura</t>
  </si>
  <si>
    <t>M. peeblesorum</t>
  </si>
  <si>
    <t>Herding, nesting colonies</t>
  </si>
  <si>
    <t>Pachycephalosaurus</t>
  </si>
  <si>
    <t>Marginocephalia</t>
  </si>
  <si>
    <t>Pachycephalosauridae</t>
  </si>
  <si>
    <t>P. wyomingensis</t>
  </si>
  <si>
    <t>Possibly head-butting contests</t>
  </si>
  <si>
    <t>Up to 15 feet long</t>
  </si>
  <si>
    <t>Styracosaurus</t>
  </si>
  <si>
    <t>S. albertensis</t>
  </si>
  <si>
    <t>Up to 18 feet long</t>
  </si>
  <si>
    <t>Compsognathus</t>
  </si>
  <si>
    <t>Compsognathidae</t>
  </si>
  <si>
    <t>C. longipes</t>
  </si>
  <si>
    <t>About 3 feet long</t>
  </si>
  <si>
    <t>Oviraptor</t>
  </si>
  <si>
    <t>Oviraptoridae</t>
  </si>
  <si>
    <t>O. philoceratops</t>
  </si>
  <si>
    <t>Omnivore</t>
  </si>
  <si>
    <t>Up to 6 feet long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</si>
</sst>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b/>
      <sz val="11.0"/>
      <color rgb="FF000000"/>
      <name val="Söhne"/>
    </font>
    <font>
      <sz val="11.0"/>
      <color theme="1"/>
      <name val="Arial"/>
      <scheme val="minor"/>
    </font>
    <font>
      <sz val="11.0"/>
      <color rgb="FF000000"/>
      <name val="Söhne"/>
    </font>
    <font>
      <color rgb="FF000000"/>
      <name val="Söhne"/>
    </font>
    <font>
      <u/>
      <color rgb="FF0000FF"/>
    </font>
    <font>
      <sz val="10.0"/>
      <color rgb="FF000000"/>
      <name val="Söhne"/>
    </font>
    <font>
      <sz val="12.0"/>
      <color rgb="FFD1D5DB"/>
      <name val="Söhne"/>
    </font>
    <font>
      <u/>
      <sz val="10.0"/>
      <color rgb="FF0000FF"/>
    </font>
  </fonts>
  <fills count="4">
    <fill>
      <patternFill patternType="none"/>
    </fill>
    <fill>
      <patternFill patternType="lightGray"/>
    </fill>
    <fill>
      <patternFill patternType="solid">
        <fgColor rgb="FFCCCCCC"/>
        <bgColor rgb="FFCCCCCC"/>
      </patternFill>
    </fill>
    <fill>
      <patternFill patternType="solid">
        <fgColor rgb="FF343541"/>
        <bgColor rgb="FF343541"/>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readingOrder="0" vertical="center"/>
    </xf>
    <xf borderId="0" fillId="2" fontId="4" numFmtId="0" xfId="0" applyAlignment="1" applyFont="1">
      <alignment vertical="center"/>
    </xf>
    <xf borderId="0" fillId="2" fontId="4" numFmtId="0" xfId="0" applyAlignment="1" applyFont="1">
      <alignment readingOrder="0" vertical="center"/>
    </xf>
    <xf borderId="1" fillId="0" fontId="5" numFmtId="0" xfId="0" applyAlignment="1" applyBorder="1" applyFont="1">
      <alignment horizontal="left" readingOrder="0"/>
    </xf>
    <xf borderId="1" fillId="0" fontId="6" numFmtId="0" xfId="0" applyAlignment="1" applyBorder="1" applyFont="1">
      <alignment horizontal="left" readingOrder="0"/>
    </xf>
    <xf borderId="0" fillId="0" fontId="7" numFmtId="0" xfId="0" applyFont="1"/>
    <xf borderId="1" fillId="0" fontId="8" numFmtId="0" xfId="0" applyAlignment="1" applyBorder="1" applyFont="1">
      <alignment horizontal="left" readingOrder="0"/>
    </xf>
    <xf borderId="0" fillId="3" fontId="9" numFmtId="0" xfId="0" applyAlignment="1" applyFill="1" applyFont="1">
      <alignment horizontal="left" readingOrder="0"/>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ht="13.5" customHeight="1">
      <c r="A2" s="2" t="s">
        <v>1</v>
      </c>
    </row>
    <row r="3">
      <c r="A3" s="2" t="s">
        <v>2</v>
      </c>
    </row>
    <row r="4">
      <c r="A4" s="2" t="s">
        <v>3</v>
      </c>
    </row>
    <row r="5">
      <c r="A5" s="2" t="s">
        <v>4</v>
      </c>
    </row>
    <row r="6">
      <c r="A6" s="2" t="s">
        <v>5</v>
      </c>
    </row>
    <row r="7">
      <c r="A7" s="1"/>
    </row>
    <row r="8">
      <c r="A8" s="1" t="s">
        <v>6</v>
      </c>
    </row>
    <row r="9" ht="20.25" customHeight="1">
      <c r="A9" s="2" t="s">
        <v>7</v>
      </c>
    </row>
    <row r="11">
      <c r="A11" s="1" t="s">
        <v>8</v>
      </c>
    </row>
    <row r="12">
      <c r="A12" s="2" t="s">
        <v>9</v>
      </c>
    </row>
    <row r="14">
      <c r="A14" s="1" t="s">
        <v>10</v>
      </c>
    </row>
    <row r="15">
      <c r="A15" s="2"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2.75"/>
    <col customWidth="1" min="3" max="3" width="11.63"/>
    <col customWidth="1" min="4" max="4" width="18.63"/>
    <col customWidth="1" min="5" max="5" width="9.75"/>
    <col customWidth="1" min="6" max="6" width="23.25"/>
    <col customWidth="1" min="7" max="7" width="24.13"/>
    <col customWidth="1" min="8" max="8" width="16.88"/>
    <col customWidth="1" min="9" max="9" width="27.88"/>
    <col customWidth="1" min="10" max="10" width="56.38"/>
  </cols>
  <sheetData>
    <row r="1" ht="24.0" customHeight="1">
      <c r="A1" s="3" t="s">
        <v>12</v>
      </c>
      <c r="B1" s="3" t="s">
        <v>13</v>
      </c>
      <c r="C1" s="3" t="s">
        <v>14</v>
      </c>
      <c r="D1" s="3" t="s">
        <v>15</v>
      </c>
      <c r="E1" s="3" t="s">
        <v>16</v>
      </c>
      <c r="F1" s="3" t="s">
        <v>17</v>
      </c>
      <c r="G1" s="3" t="s">
        <v>18</v>
      </c>
      <c r="H1" s="3" t="s">
        <v>19</v>
      </c>
      <c r="I1" s="3" t="s">
        <v>20</v>
      </c>
      <c r="J1" s="3" t="s">
        <v>21</v>
      </c>
      <c r="K1" s="4"/>
      <c r="L1" s="5" t="s">
        <v>22</v>
      </c>
      <c r="M1" s="4"/>
      <c r="N1" s="4"/>
      <c r="O1" s="4"/>
      <c r="P1" s="4"/>
      <c r="Q1" s="4"/>
      <c r="R1" s="4"/>
      <c r="S1" s="4"/>
      <c r="T1" s="4"/>
      <c r="U1" s="4"/>
      <c r="V1" s="4"/>
      <c r="W1" s="4"/>
      <c r="X1" s="4"/>
      <c r="Y1" s="4"/>
    </row>
    <row r="2">
      <c r="A2" s="6" t="s">
        <v>23</v>
      </c>
      <c r="B2" s="7" t="s">
        <v>24</v>
      </c>
      <c r="C2" s="7" t="s">
        <v>25</v>
      </c>
      <c r="D2" s="7" t="s">
        <v>26</v>
      </c>
      <c r="E2" s="7" t="s">
        <v>27</v>
      </c>
      <c r="F2" s="7" t="s">
        <v>28</v>
      </c>
      <c r="G2" s="7" t="s">
        <v>29</v>
      </c>
      <c r="H2" s="7" t="s">
        <v>30</v>
      </c>
      <c r="I2" s="7" t="s">
        <v>31</v>
      </c>
      <c r="J2" s="8" t="str">
        <f t="shared" ref="J2:J38" si="1">CONCAT("https://www.google.com/search?q=",lower(SUBSTITUTE(A2," ","%20")))</f>
        <v>https://www.google.com/search?q=labrador%20retriever</v>
      </c>
      <c r="K2" s="2" t="s">
        <v>32</v>
      </c>
      <c r="L2" s="8" t="str">
        <f t="shared" ref="L2:L38" si="2">concat("https://www.wikidata.org/wiki/",K2)</f>
        <v>https://www.wikidata.org/wiki/Q38726</v>
      </c>
    </row>
    <row r="3">
      <c r="A3" s="6" t="s">
        <v>33</v>
      </c>
      <c r="B3" s="7" t="s">
        <v>34</v>
      </c>
      <c r="C3" s="7" t="s">
        <v>35</v>
      </c>
      <c r="D3" s="7" t="s">
        <v>36</v>
      </c>
      <c r="E3" s="7" t="s">
        <v>37</v>
      </c>
      <c r="F3" s="7" t="s">
        <v>38</v>
      </c>
      <c r="G3" s="7" t="s">
        <v>39</v>
      </c>
      <c r="H3" s="7" t="s">
        <v>40</v>
      </c>
      <c r="I3" s="7" t="s">
        <v>41</v>
      </c>
      <c r="J3" s="8" t="str">
        <f t="shared" si="1"/>
        <v>https://www.google.com/search?q=german%20shepherd</v>
      </c>
      <c r="K3" s="2" t="s">
        <v>42</v>
      </c>
      <c r="L3" s="8" t="str">
        <f t="shared" si="2"/>
        <v>https://www.wikidata.org/wiki/Q39160</v>
      </c>
    </row>
    <row r="4">
      <c r="A4" s="6" t="s">
        <v>43</v>
      </c>
      <c r="B4" s="7" t="s">
        <v>44</v>
      </c>
      <c r="C4" s="7" t="s">
        <v>35</v>
      </c>
      <c r="D4" s="7" t="s">
        <v>45</v>
      </c>
      <c r="E4" s="7" t="s">
        <v>27</v>
      </c>
      <c r="F4" s="7" t="s">
        <v>28</v>
      </c>
      <c r="G4" s="7" t="s">
        <v>46</v>
      </c>
      <c r="H4" s="7" t="s">
        <v>47</v>
      </c>
      <c r="I4" s="7" t="s">
        <v>48</v>
      </c>
      <c r="J4" s="8" t="str">
        <f t="shared" si="1"/>
        <v>https://www.google.com/search?q=golden%20retriever</v>
      </c>
      <c r="K4" s="2" t="s">
        <v>49</v>
      </c>
      <c r="L4" s="8" t="str">
        <f t="shared" si="2"/>
        <v>https://www.wikidata.org/wiki/Q559850</v>
      </c>
    </row>
    <row r="5">
      <c r="A5" s="6" t="s">
        <v>50</v>
      </c>
      <c r="B5" s="7" t="s">
        <v>51</v>
      </c>
      <c r="C5" s="7" t="s">
        <v>52</v>
      </c>
      <c r="D5" s="7" t="s">
        <v>53</v>
      </c>
      <c r="E5" s="7" t="s">
        <v>54</v>
      </c>
      <c r="F5" s="7" t="s">
        <v>55</v>
      </c>
      <c r="G5" s="7" t="s">
        <v>56</v>
      </c>
      <c r="H5" s="7" t="s">
        <v>57</v>
      </c>
      <c r="I5" s="7" t="s">
        <v>58</v>
      </c>
      <c r="J5" s="8" t="str">
        <f t="shared" si="1"/>
        <v>https://www.google.com/search?q=afghan%20hound</v>
      </c>
      <c r="K5" s="2" t="s">
        <v>59</v>
      </c>
      <c r="L5" s="8" t="str">
        <f t="shared" si="2"/>
        <v>https://www.wikidata.org/wiki/Q37577</v>
      </c>
    </row>
    <row r="6" ht="16.5" customHeight="1">
      <c r="A6" s="6" t="s">
        <v>60</v>
      </c>
      <c r="B6" s="7" t="s">
        <v>61</v>
      </c>
      <c r="C6" s="7" t="s">
        <v>52</v>
      </c>
      <c r="D6" s="7" t="s">
        <v>53</v>
      </c>
      <c r="E6" s="7" t="s">
        <v>54</v>
      </c>
      <c r="F6" s="7" t="s">
        <v>55</v>
      </c>
      <c r="G6" s="7" t="s">
        <v>62</v>
      </c>
      <c r="H6" s="7" t="s">
        <v>57</v>
      </c>
      <c r="I6" s="7" t="s">
        <v>63</v>
      </c>
      <c r="J6" s="8" t="str">
        <f t="shared" si="1"/>
        <v>https://www.google.com/search?q=saluki</v>
      </c>
      <c r="K6" s="2" t="s">
        <v>64</v>
      </c>
      <c r="L6" s="8" t="str">
        <f t="shared" si="2"/>
        <v>https://www.wikidata.org/wiki/Q38985</v>
      </c>
    </row>
    <row r="7">
      <c r="A7" s="6" t="s">
        <v>65</v>
      </c>
      <c r="B7" s="7" t="s">
        <v>66</v>
      </c>
      <c r="C7" s="7" t="s">
        <v>35</v>
      </c>
      <c r="D7" s="7" t="s">
        <v>67</v>
      </c>
      <c r="E7" s="7" t="s">
        <v>27</v>
      </c>
      <c r="F7" s="7" t="s">
        <v>68</v>
      </c>
      <c r="G7" s="7" t="s">
        <v>69</v>
      </c>
      <c r="H7" s="7" t="s">
        <v>70</v>
      </c>
      <c r="I7" s="7" t="s">
        <v>71</v>
      </c>
      <c r="J7" s="8" t="str">
        <f t="shared" si="1"/>
        <v>https://www.google.com/search?q=french%20bulldog</v>
      </c>
      <c r="K7" s="2" t="s">
        <v>72</v>
      </c>
      <c r="L7" s="8" t="str">
        <f t="shared" si="2"/>
        <v>https://www.wikidata.org/wiki/Q3241127</v>
      </c>
    </row>
    <row r="8">
      <c r="A8" s="6" t="s">
        <v>73</v>
      </c>
      <c r="B8" s="7" t="s">
        <v>74</v>
      </c>
      <c r="C8" s="7" t="s">
        <v>35</v>
      </c>
      <c r="D8" s="7" t="s">
        <v>75</v>
      </c>
      <c r="E8" s="7" t="s">
        <v>76</v>
      </c>
      <c r="F8" s="7" t="s">
        <v>68</v>
      </c>
      <c r="G8" s="7" t="s">
        <v>77</v>
      </c>
      <c r="H8" s="7" t="s">
        <v>78</v>
      </c>
      <c r="I8" s="7" t="s">
        <v>79</v>
      </c>
      <c r="J8" s="8" t="str">
        <f t="shared" si="1"/>
        <v>https://www.google.com/search?q=bulldog</v>
      </c>
      <c r="K8" s="2" t="s">
        <v>80</v>
      </c>
      <c r="L8" s="8" t="str">
        <f t="shared" si="2"/>
        <v>https://www.wikidata.org/wiki/Q42314</v>
      </c>
    </row>
    <row r="9">
      <c r="A9" s="6" t="s">
        <v>81</v>
      </c>
      <c r="B9" s="7" t="s">
        <v>74</v>
      </c>
      <c r="C9" s="7" t="s">
        <v>35</v>
      </c>
      <c r="D9" s="7" t="s">
        <v>82</v>
      </c>
      <c r="E9" s="7" t="s">
        <v>83</v>
      </c>
      <c r="F9" s="7" t="s">
        <v>55</v>
      </c>
      <c r="G9" s="7" t="s">
        <v>84</v>
      </c>
      <c r="H9" s="7" t="s">
        <v>85</v>
      </c>
      <c r="I9" s="7" t="s">
        <v>86</v>
      </c>
      <c r="J9" s="8" t="str">
        <f t="shared" si="1"/>
        <v>https://www.google.com/search?q=beagle</v>
      </c>
      <c r="K9" s="2" t="s">
        <v>87</v>
      </c>
      <c r="L9" s="8" t="str">
        <f t="shared" si="2"/>
        <v>https://www.wikidata.org/wiki/Q42741</v>
      </c>
    </row>
    <row r="10">
      <c r="A10" s="6" t="s">
        <v>88</v>
      </c>
      <c r="B10" s="7" t="s">
        <v>89</v>
      </c>
      <c r="C10" s="7" t="s">
        <v>35</v>
      </c>
      <c r="D10" s="7" t="s">
        <v>90</v>
      </c>
      <c r="E10" s="7" t="s">
        <v>91</v>
      </c>
      <c r="F10" s="7" t="s">
        <v>92</v>
      </c>
      <c r="G10" s="7" t="s">
        <v>93</v>
      </c>
      <c r="H10" s="7" t="s">
        <v>94</v>
      </c>
      <c r="I10" s="7" t="s">
        <v>95</v>
      </c>
      <c r="J10" s="8" t="str">
        <f t="shared" si="1"/>
        <v>https://www.google.com/search?q=poodle</v>
      </c>
      <c r="K10" s="2" t="s">
        <v>96</v>
      </c>
      <c r="L10" s="8" t="str">
        <f t="shared" si="2"/>
        <v>https://www.wikidata.org/wiki/Q39201</v>
      </c>
    </row>
    <row r="11">
      <c r="A11" s="6" t="s">
        <v>97</v>
      </c>
      <c r="B11" s="7" t="s">
        <v>34</v>
      </c>
      <c r="C11" s="7" t="s">
        <v>35</v>
      </c>
      <c r="D11" s="7" t="s">
        <v>98</v>
      </c>
      <c r="E11" s="7" t="s">
        <v>76</v>
      </c>
      <c r="F11" s="7" t="s">
        <v>99</v>
      </c>
      <c r="G11" s="7" t="s">
        <v>100</v>
      </c>
      <c r="H11" s="7" t="s">
        <v>101</v>
      </c>
      <c r="I11" s="7" t="s">
        <v>102</v>
      </c>
      <c r="J11" s="8" t="str">
        <f t="shared" si="1"/>
        <v>https://www.google.com/search?q=rottweiler</v>
      </c>
      <c r="K11" s="2" t="s">
        <v>103</v>
      </c>
      <c r="L11" s="8" t="str">
        <f t="shared" si="2"/>
        <v>https://www.wikidata.org/wiki/Q43070</v>
      </c>
    </row>
    <row r="12">
      <c r="A12" s="6" t="s">
        <v>104</v>
      </c>
      <c r="B12" s="7" t="s">
        <v>74</v>
      </c>
      <c r="C12" s="7" t="s">
        <v>35</v>
      </c>
      <c r="D12" s="7" t="s">
        <v>105</v>
      </c>
      <c r="E12" s="7" t="s">
        <v>106</v>
      </c>
      <c r="F12" s="7" t="s">
        <v>68</v>
      </c>
      <c r="G12" s="7" t="s">
        <v>107</v>
      </c>
      <c r="H12" s="7" t="s">
        <v>70</v>
      </c>
      <c r="I12" s="7" t="s">
        <v>108</v>
      </c>
      <c r="J12" s="8" t="str">
        <f t="shared" si="1"/>
        <v>https://www.google.com/search?q=yorkshire%20terrier</v>
      </c>
      <c r="L12" s="8" t="str">
        <f t="shared" si="2"/>
        <v>https://www.wikidata.org/wiki/</v>
      </c>
    </row>
    <row r="13">
      <c r="A13" s="6" t="s">
        <v>109</v>
      </c>
      <c r="B13" s="7" t="s">
        <v>34</v>
      </c>
      <c r="C13" s="7" t="s">
        <v>35</v>
      </c>
      <c r="D13" s="7" t="s">
        <v>110</v>
      </c>
      <c r="E13" s="7" t="s">
        <v>27</v>
      </c>
      <c r="F13" s="7" t="s">
        <v>111</v>
      </c>
      <c r="G13" s="7" t="s">
        <v>112</v>
      </c>
      <c r="H13" s="7" t="s">
        <v>70</v>
      </c>
      <c r="I13" s="7" t="s">
        <v>113</v>
      </c>
      <c r="J13" s="8" t="str">
        <f t="shared" si="1"/>
        <v>https://www.google.com/search?q=boxer</v>
      </c>
      <c r="L13" s="8" t="str">
        <f t="shared" si="2"/>
        <v>https://www.wikidata.org/wiki/</v>
      </c>
    </row>
    <row r="14">
      <c r="A14" s="6" t="s">
        <v>114</v>
      </c>
      <c r="B14" s="7" t="s">
        <v>34</v>
      </c>
      <c r="C14" s="7" t="s">
        <v>35</v>
      </c>
      <c r="D14" s="7" t="s">
        <v>115</v>
      </c>
      <c r="E14" s="7" t="s">
        <v>116</v>
      </c>
      <c r="F14" s="7" t="s">
        <v>55</v>
      </c>
      <c r="G14" s="7" t="s">
        <v>117</v>
      </c>
      <c r="H14" s="7" t="s">
        <v>85</v>
      </c>
      <c r="I14" s="7" t="s">
        <v>118</v>
      </c>
      <c r="J14" s="8" t="str">
        <f t="shared" si="1"/>
        <v>https://www.google.com/search?q=dachshund</v>
      </c>
      <c r="L14" s="8" t="str">
        <f t="shared" si="2"/>
        <v>https://www.wikidata.org/wiki/</v>
      </c>
    </row>
    <row r="15">
      <c r="A15" s="6" t="s">
        <v>119</v>
      </c>
      <c r="B15" s="7" t="s">
        <v>120</v>
      </c>
      <c r="C15" s="7" t="s">
        <v>52</v>
      </c>
      <c r="D15" s="7" t="s">
        <v>67</v>
      </c>
      <c r="E15" s="7" t="s">
        <v>54</v>
      </c>
      <c r="F15" s="7" t="s">
        <v>121</v>
      </c>
      <c r="G15" s="7" t="s">
        <v>122</v>
      </c>
      <c r="H15" s="7" t="s">
        <v>57</v>
      </c>
      <c r="I15" s="7" t="s">
        <v>123</v>
      </c>
      <c r="J15" s="8" t="str">
        <f t="shared" si="1"/>
        <v>https://www.google.com/search?q=siberian%20husky</v>
      </c>
      <c r="L15" s="8" t="str">
        <f t="shared" si="2"/>
        <v>https://www.wikidata.org/wiki/</v>
      </c>
    </row>
    <row r="16">
      <c r="A16" s="6" t="s">
        <v>124</v>
      </c>
      <c r="B16" s="7" t="s">
        <v>125</v>
      </c>
      <c r="C16" s="7" t="s">
        <v>25</v>
      </c>
      <c r="D16" s="7" t="s">
        <v>126</v>
      </c>
      <c r="E16" s="7" t="s">
        <v>127</v>
      </c>
      <c r="F16" s="7" t="s">
        <v>128</v>
      </c>
      <c r="G16" s="7" t="s">
        <v>129</v>
      </c>
      <c r="H16" s="7" t="s">
        <v>70</v>
      </c>
      <c r="I16" s="7" t="s">
        <v>130</v>
      </c>
      <c r="J16" s="8" t="str">
        <f t="shared" si="1"/>
        <v>https://www.google.com/search?q=australian%20shepherd</v>
      </c>
      <c r="L16" s="8" t="str">
        <f t="shared" si="2"/>
        <v>https://www.wikidata.org/wiki/</v>
      </c>
    </row>
    <row r="17">
      <c r="A17" s="6" t="s">
        <v>131</v>
      </c>
      <c r="B17" s="7" t="s">
        <v>34</v>
      </c>
      <c r="C17" s="7" t="s">
        <v>35</v>
      </c>
      <c r="D17" s="7" t="s">
        <v>132</v>
      </c>
      <c r="E17" s="7" t="s">
        <v>133</v>
      </c>
      <c r="F17" s="7" t="s">
        <v>134</v>
      </c>
      <c r="G17" s="7" t="s">
        <v>135</v>
      </c>
      <c r="H17" s="7" t="s">
        <v>85</v>
      </c>
      <c r="I17" s="7" t="s">
        <v>136</v>
      </c>
      <c r="J17" s="8" t="str">
        <f t="shared" si="1"/>
        <v>https://www.google.com/search?q=great%20dane</v>
      </c>
      <c r="L17" s="8" t="str">
        <f t="shared" si="2"/>
        <v>https://www.wikidata.org/wiki/</v>
      </c>
    </row>
    <row r="18">
      <c r="A18" s="6" t="s">
        <v>137</v>
      </c>
      <c r="B18" s="7" t="s">
        <v>34</v>
      </c>
      <c r="C18" s="7" t="s">
        <v>35</v>
      </c>
      <c r="D18" s="7" t="s">
        <v>138</v>
      </c>
      <c r="E18" s="7" t="s">
        <v>27</v>
      </c>
      <c r="F18" s="7" t="s">
        <v>139</v>
      </c>
      <c r="G18" s="7" t="s">
        <v>140</v>
      </c>
      <c r="H18" s="7" t="s">
        <v>141</v>
      </c>
      <c r="I18" s="7" t="s">
        <v>142</v>
      </c>
      <c r="J18" s="8" t="str">
        <f t="shared" si="1"/>
        <v>https://www.google.com/search?q=doberman%20pinscher</v>
      </c>
      <c r="L18" s="8" t="str">
        <f t="shared" si="2"/>
        <v>https://www.wikidata.org/wiki/</v>
      </c>
    </row>
    <row r="19">
      <c r="A19" s="6" t="s">
        <v>143</v>
      </c>
      <c r="B19" s="7" t="s">
        <v>144</v>
      </c>
      <c r="C19" s="7" t="s">
        <v>35</v>
      </c>
      <c r="D19" s="7" t="s">
        <v>145</v>
      </c>
      <c r="E19" s="7" t="s">
        <v>146</v>
      </c>
      <c r="F19" s="7" t="s">
        <v>68</v>
      </c>
      <c r="G19" s="7" t="s">
        <v>147</v>
      </c>
      <c r="H19" s="7" t="s">
        <v>148</v>
      </c>
      <c r="I19" s="7" t="s">
        <v>149</v>
      </c>
      <c r="J19" s="8" t="str">
        <f t="shared" si="1"/>
        <v>https://www.google.com/search?q=cavalier%20king%20charles%20spaniel</v>
      </c>
      <c r="L19" s="8" t="str">
        <f t="shared" si="2"/>
        <v>https://www.wikidata.org/wiki/</v>
      </c>
    </row>
    <row r="20">
      <c r="A20" s="6" t="s">
        <v>150</v>
      </c>
      <c r="B20" s="7" t="s">
        <v>34</v>
      </c>
      <c r="C20" s="7" t="s">
        <v>35</v>
      </c>
      <c r="D20" s="7" t="s">
        <v>151</v>
      </c>
      <c r="E20" s="7" t="s">
        <v>127</v>
      </c>
      <c r="F20" s="7" t="s">
        <v>152</v>
      </c>
      <c r="G20" s="7" t="s">
        <v>153</v>
      </c>
      <c r="H20" s="7" t="s">
        <v>70</v>
      </c>
      <c r="I20" s="7" t="s">
        <v>154</v>
      </c>
      <c r="J20" s="8" t="str">
        <f t="shared" si="1"/>
        <v>https://www.google.com/search?q=miniature%20schnauzer</v>
      </c>
      <c r="L20" s="8" t="str">
        <f t="shared" si="2"/>
        <v>https://www.wikidata.org/wiki/</v>
      </c>
    </row>
    <row r="21">
      <c r="A21" s="6" t="s">
        <v>155</v>
      </c>
      <c r="B21" s="7" t="s">
        <v>156</v>
      </c>
      <c r="C21" s="7" t="s">
        <v>52</v>
      </c>
      <c r="D21" s="7" t="s">
        <v>67</v>
      </c>
      <c r="E21" s="7" t="s">
        <v>157</v>
      </c>
      <c r="F21" s="7" t="s">
        <v>68</v>
      </c>
      <c r="G21" s="7" t="s">
        <v>158</v>
      </c>
      <c r="H21" s="7" t="s">
        <v>148</v>
      </c>
      <c r="I21" s="7" t="s">
        <v>159</v>
      </c>
      <c r="J21" s="8" t="str">
        <f t="shared" si="1"/>
        <v>https://www.google.com/search?q=shih%20tzu</v>
      </c>
      <c r="L21" s="8" t="str">
        <f t="shared" si="2"/>
        <v>https://www.wikidata.org/wiki/</v>
      </c>
    </row>
    <row r="22">
      <c r="A22" s="6" t="s">
        <v>160</v>
      </c>
      <c r="B22" s="7" t="s">
        <v>125</v>
      </c>
      <c r="C22" s="7" t="s">
        <v>25</v>
      </c>
      <c r="D22" s="7" t="s">
        <v>161</v>
      </c>
      <c r="E22" s="7" t="s">
        <v>162</v>
      </c>
      <c r="F22" s="7" t="s">
        <v>68</v>
      </c>
      <c r="G22" s="7" t="s">
        <v>163</v>
      </c>
      <c r="H22" s="7" t="s">
        <v>70</v>
      </c>
      <c r="I22" s="7" t="s">
        <v>164</v>
      </c>
      <c r="J22" s="8" t="str">
        <f t="shared" si="1"/>
        <v>https://www.google.com/search?q=boston%20terrier</v>
      </c>
      <c r="L22" s="8" t="str">
        <f t="shared" si="2"/>
        <v>https://www.wikidata.org/wiki/</v>
      </c>
    </row>
    <row r="23">
      <c r="A23" s="6" t="s">
        <v>165</v>
      </c>
      <c r="B23" s="7" t="s">
        <v>166</v>
      </c>
      <c r="C23" s="7" t="s">
        <v>35</v>
      </c>
      <c r="D23" s="7" t="s">
        <v>67</v>
      </c>
      <c r="E23" s="7" t="s">
        <v>116</v>
      </c>
      <c r="F23" s="7" t="s">
        <v>68</v>
      </c>
      <c r="G23" s="7" t="s">
        <v>167</v>
      </c>
      <c r="H23" s="7" t="s">
        <v>168</v>
      </c>
      <c r="I23" s="7" t="s">
        <v>169</v>
      </c>
      <c r="J23" s="8" t="str">
        <f t="shared" si="1"/>
        <v>https://www.google.com/search?q=pomeranian</v>
      </c>
      <c r="L23" s="8" t="str">
        <f t="shared" si="2"/>
        <v>https://www.wikidata.org/wiki/</v>
      </c>
    </row>
    <row r="24">
      <c r="A24" s="6" t="s">
        <v>170</v>
      </c>
      <c r="B24" s="7" t="s">
        <v>171</v>
      </c>
      <c r="C24" s="7" t="s">
        <v>25</v>
      </c>
      <c r="D24" s="7" t="s">
        <v>67</v>
      </c>
      <c r="E24" s="7" t="s">
        <v>172</v>
      </c>
      <c r="F24" s="7" t="s">
        <v>68</v>
      </c>
      <c r="G24" s="7" t="s">
        <v>173</v>
      </c>
      <c r="H24" s="7" t="s">
        <v>70</v>
      </c>
      <c r="I24" s="7" t="s">
        <v>174</v>
      </c>
      <c r="J24" s="8" t="str">
        <f t="shared" si="1"/>
        <v>https://www.google.com/search?q=havanese</v>
      </c>
      <c r="L24" s="8" t="str">
        <f t="shared" si="2"/>
        <v>https://www.wikidata.org/wiki/</v>
      </c>
    </row>
    <row r="25">
      <c r="A25" s="6" t="s">
        <v>175</v>
      </c>
      <c r="B25" s="7" t="s">
        <v>44</v>
      </c>
      <c r="C25" s="7" t="s">
        <v>35</v>
      </c>
      <c r="D25" s="7" t="s">
        <v>176</v>
      </c>
      <c r="E25" s="7" t="s">
        <v>54</v>
      </c>
      <c r="F25" s="7" t="s">
        <v>128</v>
      </c>
      <c r="G25" s="7" t="s">
        <v>177</v>
      </c>
      <c r="H25" s="7" t="s">
        <v>148</v>
      </c>
      <c r="I25" s="7" t="s">
        <v>178</v>
      </c>
      <c r="J25" s="8" t="str">
        <f t="shared" si="1"/>
        <v>https://www.google.com/search?q=shetland%20sheepdog</v>
      </c>
      <c r="L25" s="8" t="str">
        <f t="shared" si="2"/>
        <v>https://www.wikidata.org/wiki/</v>
      </c>
    </row>
    <row r="26">
      <c r="A26" s="6" t="s">
        <v>179</v>
      </c>
      <c r="B26" s="7" t="s">
        <v>180</v>
      </c>
      <c r="C26" s="7" t="s">
        <v>35</v>
      </c>
      <c r="D26" s="7" t="s">
        <v>181</v>
      </c>
      <c r="E26" s="7" t="s">
        <v>133</v>
      </c>
      <c r="F26" s="7" t="s">
        <v>111</v>
      </c>
      <c r="G26" s="7" t="s">
        <v>182</v>
      </c>
      <c r="H26" s="7" t="s">
        <v>70</v>
      </c>
      <c r="I26" s="7" t="s">
        <v>48</v>
      </c>
      <c r="J26" s="8" t="str">
        <f t="shared" si="1"/>
        <v>https://www.google.com/search?q=bernese%20mountain%20dog</v>
      </c>
      <c r="L26" s="8" t="str">
        <f t="shared" si="2"/>
        <v>https://www.wikidata.org/wiki/</v>
      </c>
    </row>
    <row r="27">
      <c r="A27" s="6" t="s">
        <v>183</v>
      </c>
      <c r="B27" s="7" t="s">
        <v>184</v>
      </c>
      <c r="C27" s="7" t="s">
        <v>35</v>
      </c>
      <c r="D27" s="7" t="s">
        <v>185</v>
      </c>
      <c r="E27" s="7" t="s">
        <v>27</v>
      </c>
      <c r="F27" s="7" t="s">
        <v>186</v>
      </c>
      <c r="G27" s="7" t="s">
        <v>187</v>
      </c>
      <c r="H27" s="7" t="s">
        <v>188</v>
      </c>
      <c r="I27" s="7" t="s">
        <v>41</v>
      </c>
      <c r="J27" s="8" t="str">
        <f t="shared" si="1"/>
        <v>https://www.google.com/search?q=cane%20corso</v>
      </c>
      <c r="L27" s="8" t="str">
        <f t="shared" si="2"/>
        <v>https://www.wikidata.org/wiki/</v>
      </c>
    </row>
    <row r="28">
      <c r="A28" s="6" t="s">
        <v>189</v>
      </c>
      <c r="B28" s="7" t="s">
        <v>190</v>
      </c>
      <c r="C28" s="7" t="s">
        <v>25</v>
      </c>
      <c r="D28" s="7" t="s">
        <v>67</v>
      </c>
      <c r="E28" s="7" t="s">
        <v>191</v>
      </c>
      <c r="F28" s="7" t="s">
        <v>68</v>
      </c>
      <c r="G28" s="7" t="s">
        <v>192</v>
      </c>
      <c r="H28" s="7" t="s">
        <v>57</v>
      </c>
      <c r="I28" s="7" t="s">
        <v>193</v>
      </c>
      <c r="J28" s="8" t="str">
        <f t="shared" si="1"/>
        <v>https://www.google.com/search?q=chihuahua</v>
      </c>
      <c r="L28" s="8" t="str">
        <f t="shared" si="2"/>
        <v>https://www.wikidata.org/wiki/</v>
      </c>
    </row>
    <row r="29">
      <c r="A29" s="6" t="s">
        <v>194</v>
      </c>
      <c r="B29" s="7" t="s">
        <v>195</v>
      </c>
      <c r="C29" s="7" t="s">
        <v>35</v>
      </c>
      <c r="D29" s="7" t="s">
        <v>196</v>
      </c>
      <c r="E29" s="7" t="s">
        <v>127</v>
      </c>
      <c r="F29" s="7" t="s">
        <v>68</v>
      </c>
      <c r="G29" s="7" t="s">
        <v>197</v>
      </c>
      <c r="H29" s="7" t="s">
        <v>57</v>
      </c>
      <c r="I29" s="7" t="s">
        <v>198</v>
      </c>
      <c r="J29" s="8" t="str">
        <f t="shared" si="1"/>
        <v>https://www.google.com/search?q=maltese</v>
      </c>
      <c r="L29" s="8" t="str">
        <f t="shared" si="2"/>
        <v>https://www.wikidata.org/wiki/</v>
      </c>
    </row>
    <row r="30">
      <c r="A30" s="6" t="s">
        <v>199</v>
      </c>
      <c r="B30" s="7" t="s">
        <v>200</v>
      </c>
      <c r="C30" s="7" t="s">
        <v>35</v>
      </c>
      <c r="D30" s="7" t="s">
        <v>196</v>
      </c>
      <c r="E30" s="7" t="s">
        <v>201</v>
      </c>
      <c r="F30" s="7" t="s">
        <v>68</v>
      </c>
      <c r="G30" s="7" t="s">
        <v>202</v>
      </c>
      <c r="H30" s="7" t="s">
        <v>203</v>
      </c>
      <c r="I30" s="7" t="s">
        <v>204</v>
      </c>
      <c r="J30" s="8" t="str">
        <f t="shared" si="1"/>
        <v>https://www.google.com/search?q=bichon%20frise</v>
      </c>
      <c r="L30" s="8" t="str">
        <f t="shared" si="2"/>
        <v>https://www.wikidata.org/wiki/</v>
      </c>
    </row>
    <row r="31">
      <c r="A31" s="6" t="s">
        <v>205</v>
      </c>
      <c r="B31" s="7" t="s">
        <v>44</v>
      </c>
      <c r="C31" s="7" t="s">
        <v>35</v>
      </c>
      <c r="D31" s="7" t="s">
        <v>206</v>
      </c>
      <c r="E31" s="7" t="s">
        <v>54</v>
      </c>
      <c r="F31" s="7" t="s">
        <v>128</v>
      </c>
      <c r="G31" s="7" t="s">
        <v>207</v>
      </c>
      <c r="H31" s="7" t="s">
        <v>70</v>
      </c>
      <c r="I31" s="7" t="s">
        <v>208</v>
      </c>
      <c r="J31" s="8" t="str">
        <f t="shared" si="1"/>
        <v>https://www.google.com/search?q=collie</v>
      </c>
      <c r="L31" s="8" t="str">
        <f t="shared" si="2"/>
        <v>https://www.wikidata.org/wiki/</v>
      </c>
    </row>
    <row r="32">
      <c r="A32" s="6" t="s">
        <v>209</v>
      </c>
      <c r="B32" s="7" t="s">
        <v>24</v>
      </c>
      <c r="C32" s="7" t="s">
        <v>25</v>
      </c>
      <c r="D32" s="7" t="s">
        <v>210</v>
      </c>
      <c r="E32" s="7" t="s">
        <v>76</v>
      </c>
      <c r="F32" s="7" t="s">
        <v>111</v>
      </c>
      <c r="G32" s="7" t="s">
        <v>211</v>
      </c>
      <c r="H32" s="7" t="s">
        <v>148</v>
      </c>
      <c r="I32" s="7" t="s">
        <v>212</v>
      </c>
      <c r="J32" s="8" t="str">
        <f t="shared" si="1"/>
        <v>https://www.google.com/search?q=newfoundland</v>
      </c>
      <c r="L32" s="8" t="str">
        <f t="shared" si="2"/>
        <v>https://www.wikidata.org/wiki/</v>
      </c>
    </row>
    <row r="33">
      <c r="A33" s="6" t="s">
        <v>213</v>
      </c>
      <c r="B33" s="7" t="s">
        <v>34</v>
      </c>
      <c r="C33" s="7" t="s">
        <v>35</v>
      </c>
      <c r="D33" s="7" t="s">
        <v>214</v>
      </c>
      <c r="E33" s="7" t="s">
        <v>215</v>
      </c>
      <c r="F33" s="7" t="s">
        <v>55</v>
      </c>
      <c r="G33" s="7" t="s">
        <v>216</v>
      </c>
      <c r="H33" s="7" t="s">
        <v>70</v>
      </c>
      <c r="I33" s="7" t="s">
        <v>217</v>
      </c>
      <c r="J33" s="8" t="str">
        <f t="shared" si="1"/>
        <v>https://www.google.com/search?q=weimaraner</v>
      </c>
      <c r="L33" s="8" t="str">
        <f t="shared" si="2"/>
        <v>https://www.wikidata.org/wiki/</v>
      </c>
    </row>
    <row r="34">
      <c r="A34" s="6" t="s">
        <v>218</v>
      </c>
      <c r="B34" s="7" t="s">
        <v>180</v>
      </c>
      <c r="C34" s="7" t="s">
        <v>35</v>
      </c>
      <c r="D34" s="7" t="s">
        <v>219</v>
      </c>
      <c r="E34" s="7" t="s">
        <v>76</v>
      </c>
      <c r="F34" s="7" t="s">
        <v>111</v>
      </c>
      <c r="G34" s="7" t="s">
        <v>220</v>
      </c>
      <c r="H34" s="7" t="s">
        <v>101</v>
      </c>
      <c r="I34" s="7" t="s">
        <v>41</v>
      </c>
      <c r="J34" s="8" t="str">
        <f t="shared" si="1"/>
        <v>https://www.google.com/search?q=saint%20bernard</v>
      </c>
      <c r="L34" s="8" t="str">
        <f t="shared" si="2"/>
        <v>https://www.wikidata.org/wiki/</v>
      </c>
    </row>
    <row r="35">
      <c r="A35" s="6" t="s">
        <v>221</v>
      </c>
      <c r="B35" s="7" t="s">
        <v>222</v>
      </c>
      <c r="C35" s="7" t="s">
        <v>35</v>
      </c>
      <c r="D35" s="7" t="s">
        <v>223</v>
      </c>
      <c r="E35" s="7" t="s">
        <v>127</v>
      </c>
      <c r="F35" s="7" t="s">
        <v>55</v>
      </c>
      <c r="G35" s="7" t="s">
        <v>224</v>
      </c>
      <c r="H35" s="7" t="s">
        <v>168</v>
      </c>
      <c r="I35" s="7" t="s">
        <v>130</v>
      </c>
      <c r="J35" s="8" t="str">
        <f t="shared" si="1"/>
        <v>https://www.google.com/search?q=irish%20setter</v>
      </c>
      <c r="L35" s="8" t="str">
        <f t="shared" si="2"/>
        <v>https://www.wikidata.org/wiki/</v>
      </c>
    </row>
    <row r="36">
      <c r="A36" s="6" t="s">
        <v>225</v>
      </c>
      <c r="B36" s="7" t="s">
        <v>74</v>
      </c>
      <c r="C36" s="7" t="s">
        <v>35</v>
      </c>
      <c r="D36" s="7" t="s">
        <v>226</v>
      </c>
      <c r="E36" s="7" t="s">
        <v>227</v>
      </c>
      <c r="F36" s="7" t="s">
        <v>55</v>
      </c>
      <c r="G36" s="7" t="s">
        <v>228</v>
      </c>
      <c r="H36" s="7" t="s">
        <v>70</v>
      </c>
      <c r="I36" s="7" t="s">
        <v>229</v>
      </c>
      <c r="J36" s="8" t="str">
        <f t="shared" si="1"/>
        <v>https://www.google.com/search?q=airedale%20terrier</v>
      </c>
      <c r="L36" s="8" t="str">
        <f t="shared" si="2"/>
        <v>https://www.wikidata.org/wiki/</v>
      </c>
    </row>
    <row r="37">
      <c r="A37" s="6" t="s">
        <v>230</v>
      </c>
      <c r="B37" s="7" t="s">
        <v>231</v>
      </c>
      <c r="C37" s="7" t="s">
        <v>35</v>
      </c>
      <c r="D37" s="7" t="s">
        <v>232</v>
      </c>
      <c r="E37" s="7" t="s">
        <v>162</v>
      </c>
      <c r="F37" s="7" t="s">
        <v>233</v>
      </c>
      <c r="G37" s="7" t="s">
        <v>234</v>
      </c>
      <c r="H37" s="7" t="s">
        <v>235</v>
      </c>
      <c r="I37" s="7" t="s">
        <v>236</v>
      </c>
      <c r="J37" s="8" t="str">
        <f t="shared" si="1"/>
        <v>https://www.google.com/search?q=dalmatian</v>
      </c>
      <c r="L37" s="8" t="str">
        <f t="shared" si="2"/>
        <v>https://www.wikidata.org/wiki/</v>
      </c>
    </row>
    <row r="38">
      <c r="A38" s="6" t="s">
        <v>237</v>
      </c>
      <c r="B38" s="7" t="s">
        <v>66</v>
      </c>
      <c r="C38" s="7" t="s">
        <v>35</v>
      </c>
      <c r="D38" s="7" t="s">
        <v>238</v>
      </c>
      <c r="E38" s="7" t="s">
        <v>239</v>
      </c>
      <c r="F38" s="7" t="s">
        <v>68</v>
      </c>
      <c r="G38" s="7" t="s">
        <v>240</v>
      </c>
      <c r="H38" s="7" t="s">
        <v>85</v>
      </c>
      <c r="I38" s="7" t="s">
        <v>198</v>
      </c>
      <c r="J38" s="8" t="str">
        <f t="shared" si="1"/>
        <v>https://www.google.com/search?q=papillon</v>
      </c>
      <c r="L38" s="8" t="str">
        <f t="shared" si="2"/>
        <v>https://www.wikidata.org/wiki/</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4" max="4" width="38.75"/>
    <col customWidth="1" min="5" max="5" width="9.75"/>
    <col customWidth="1" min="6" max="6" width="38.5"/>
    <col customWidth="1" min="7" max="7" width="39.63"/>
    <col customWidth="1" min="8" max="8" width="47.63"/>
  </cols>
  <sheetData>
    <row r="1">
      <c r="A1" s="3" t="s">
        <v>12</v>
      </c>
      <c r="B1" s="3" t="s">
        <v>13</v>
      </c>
      <c r="C1" s="3" t="s">
        <v>14</v>
      </c>
      <c r="D1" s="3" t="s">
        <v>15</v>
      </c>
      <c r="E1" s="3" t="s">
        <v>16</v>
      </c>
      <c r="F1" s="3" t="s">
        <v>241</v>
      </c>
      <c r="G1" s="3" t="s">
        <v>242</v>
      </c>
      <c r="H1" s="3" t="s">
        <v>21</v>
      </c>
    </row>
    <row r="2">
      <c r="A2" s="6" t="s">
        <v>243</v>
      </c>
      <c r="B2" s="9" t="s">
        <v>244</v>
      </c>
      <c r="C2" s="9" t="s">
        <v>52</v>
      </c>
      <c r="D2" s="9" t="s">
        <v>245</v>
      </c>
      <c r="E2" s="9" t="s">
        <v>246</v>
      </c>
      <c r="F2" s="9" t="s">
        <v>247</v>
      </c>
      <c r="G2" s="9" t="s">
        <v>248</v>
      </c>
      <c r="H2" s="8" t="str">
        <f t="shared" ref="H2:H21" si="1">concat(CONCAT("https://www.google.com/search?q=",lower(SUBSTITUTE(A2," ","%20"))),"%20cat")</f>
        <v>https://www.google.com/search?q=persian%20cat</v>
      </c>
    </row>
    <row r="3">
      <c r="A3" s="6" t="s">
        <v>249</v>
      </c>
      <c r="B3" s="9" t="s">
        <v>125</v>
      </c>
      <c r="C3" s="9" t="s">
        <v>25</v>
      </c>
      <c r="D3" s="9" t="s">
        <v>250</v>
      </c>
      <c r="E3" s="9" t="s">
        <v>127</v>
      </c>
      <c r="F3" s="9" t="s">
        <v>251</v>
      </c>
      <c r="G3" s="9" t="s">
        <v>252</v>
      </c>
      <c r="H3" s="8" t="str">
        <f t="shared" si="1"/>
        <v>https://www.google.com/search?q=maine%20coon%20cat</v>
      </c>
    </row>
    <row r="4">
      <c r="A4" s="6" t="s">
        <v>253</v>
      </c>
      <c r="B4" s="9" t="s">
        <v>254</v>
      </c>
      <c r="C4" s="9" t="s">
        <v>52</v>
      </c>
      <c r="D4" s="9" t="s">
        <v>255</v>
      </c>
      <c r="E4" s="9" t="s">
        <v>256</v>
      </c>
      <c r="F4" s="9" t="s">
        <v>257</v>
      </c>
      <c r="G4" s="9" t="s">
        <v>258</v>
      </c>
      <c r="H4" s="8" t="str">
        <f t="shared" si="1"/>
        <v>https://www.google.com/search?q=siamese%20cat</v>
      </c>
    </row>
    <row r="5">
      <c r="A5" s="6" t="s">
        <v>259</v>
      </c>
      <c r="B5" s="9" t="s">
        <v>125</v>
      </c>
      <c r="C5" s="9" t="s">
        <v>25</v>
      </c>
      <c r="D5" s="9" t="s">
        <v>260</v>
      </c>
      <c r="E5" s="9" t="s">
        <v>246</v>
      </c>
      <c r="F5" s="9" t="s">
        <v>261</v>
      </c>
      <c r="G5" s="9" t="s">
        <v>262</v>
      </c>
      <c r="H5" s="8" t="str">
        <f t="shared" si="1"/>
        <v>https://www.google.com/search?q=ragdoll%20cat</v>
      </c>
    </row>
    <row r="6">
      <c r="A6" s="6" t="s">
        <v>263</v>
      </c>
      <c r="B6" s="9" t="s">
        <v>125</v>
      </c>
      <c r="C6" s="9" t="s">
        <v>25</v>
      </c>
      <c r="D6" s="9" t="s">
        <v>264</v>
      </c>
      <c r="E6" s="9" t="s">
        <v>116</v>
      </c>
      <c r="F6" s="9" t="s">
        <v>265</v>
      </c>
      <c r="G6" s="9" t="s">
        <v>266</v>
      </c>
      <c r="H6" s="8" t="str">
        <f t="shared" si="1"/>
        <v>https://www.google.com/search?q=bengal%20cat</v>
      </c>
    </row>
    <row r="7">
      <c r="A7" s="6" t="s">
        <v>267</v>
      </c>
      <c r="B7" s="9" t="s">
        <v>144</v>
      </c>
      <c r="C7" s="9" t="s">
        <v>35</v>
      </c>
      <c r="D7" s="9" t="s">
        <v>268</v>
      </c>
      <c r="E7" s="9" t="s">
        <v>191</v>
      </c>
      <c r="F7" s="9" t="s">
        <v>269</v>
      </c>
      <c r="G7" s="9" t="s">
        <v>270</v>
      </c>
      <c r="H7" s="8" t="str">
        <f t="shared" si="1"/>
        <v>https://www.google.com/search?q=british%20shorthair%20cat</v>
      </c>
    </row>
    <row r="8">
      <c r="A8" s="6" t="s">
        <v>271</v>
      </c>
      <c r="B8" s="9" t="s">
        <v>24</v>
      </c>
      <c r="C8" s="9" t="s">
        <v>25</v>
      </c>
      <c r="D8" s="9" t="s">
        <v>272</v>
      </c>
      <c r="E8" s="9" t="s">
        <v>239</v>
      </c>
      <c r="F8" s="9" t="s">
        <v>273</v>
      </c>
      <c r="G8" s="9" t="s">
        <v>274</v>
      </c>
      <c r="H8" s="8" t="str">
        <f t="shared" si="1"/>
        <v>https://www.google.com/search?q=sphynx%20cat</v>
      </c>
    </row>
    <row r="9">
      <c r="A9" s="6" t="s">
        <v>275</v>
      </c>
      <c r="B9" s="9" t="s">
        <v>44</v>
      </c>
      <c r="C9" s="9" t="s">
        <v>35</v>
      </c>
      <c r="D9" s="9" t="s">
        <v>115</v>
      </c>
      <c r="E9" s="9" t="s">
        <v>276</v>
      </c>
      <c r="F9" s="9" t="s">
        <v>277</v>
      </c>
      <c r="G9" s="9" t="s">
        <v>278</v>
      </c>
      <c r="H9" s="8" t="str">
        <f t="shared" si="1"/>
        <v>https://www.google.com/search?q=scottish%20fold%20cat</v>
      </c>
    </row>
    <row r="10">
      <c r="A10" s="6" t="s">
        <v>279</v>
      </c>
      <c r="B10" s="9" t="s">
        <v>280</v>
      </c>
      <c r="C10" s="9" t="s">
        <v>281</v>
      </c>
      <c r="D10" s="9" t="s">
        <v>282</v>
      </c>
      <c r="E10" s="9" t="s">
        <v>283</v>
      </c>
      <c r="F10" s="9" t="s">
        <v>284</v>
      </c>
      <c r="G10" s="9" t="s">
        <v>285</v>
      </c>
      <c r="H10" s="8" t="str">
        <f t="shared" si="1"/>
        <v>https://www.google.com/search?q=abyssinian%20cat</v>
      </c>
    </row>
    <row r="11">
      <c r="A11" s="6" t="s">
        <v>286</v>
      </c>
      <c r="B11" s="9" t="s">
        <v>287</v>
      </c>
      <c r="C11" s="9" t="s">
        <v>52</v>
      </c>
      <c r="D11" s="9" t="s">
        <v>288</v>
      </c>
      <c r="E11" s="9" t="s">
        <v>116</v>
      </c>
      <c r="F11" s="9" t="s">
        <v>289</v>
      </c>
      <c r="G11" s="9" t="s">
        <v>290</v>
      </c>
      <c r="H11" s="8" t="str">
        <f t="shared" si="1"/>
        <v>https://www.google.com/search?q=birman%20cat</v>
      </c>
    </row>
    <row r="12">
      <c r="A12" s="6" t="s">
        <v>291</v>
      </c>
      <c r="B12" s="9" t="s">
        <v>125</v>
      </c>
      <c r="C12" s="9" t="s">
        <v>25</v>
      </c>
      <c r="D12" s="9" t="s">
        <v>292</v>
      </c>
      <c r="E12" s="9" t="s">
        <v>83</v>
      </c>
      <c r="F12" s="9" t="s">
        <v>293</v>
      </c>
      <c r="G12" s="9" t="s">
        <v>294</v>
      </c>
      <c r="H12" s="8" t="str">
        <f t="shared" si="1"/>
        <v>https://www.google.com/search?q=oriental%20shorthair%20cat</v>
      </c>
    </row>
    <row r="13">
      <c r="A13" s="6" t="s">
        <v>295</v>
      </c>
      <c r="B13" s="9" t="s">
        <v>296</v>
      </c>
      <c r="C13" s="9" t="s">
        <v>35</v>
      </c>
      <c r="D13" s="9" t="s">
        <v>297</v>
      </c>
      <c r="E13" s="9" t="s">
        <v>256</v>
      </c>
      <c r="F13" s="9" t="s">
        <v>298</v>
      </c>
      <c r="G13" s="9" t="s">
        <v>299</v>
      </c>
      <c r="H13" s="8" t="str">
        <f t="shared" si="1"/>
        <v>https://www.google.com/search?q=russian%20blue%20cat</v>
      </c>
    </row>
    <row r="14">
      <c r="A14" s="6" t="s">
        <v>300</v>
      </c>
      <c r="B14" s="9" t="s">
        <v>301</v>
      </c>
      <c r="C14" s="9" t="s">
        <v>35</v>
      </c>
      <c r="D14" s="9" t="s">
        <v>302</v>
      </c>
      <c r="E14" s="9" t="s">
        <v>172</v>
      </c>
      <c r="F14" s="9" t="s">
        <v>303</v>
      </c>
      <c r="G14" s="9" t="s">
        <v>304</v>
      </c>
      <c r="H14" s="8" t="str">
        <f t="shared" si="1"/>
        <v>https://www.google.com/search?q=norwegian%20forest%20cat%20cat</v>
      </c>
    </row>
    <row r="15">
      <c r="A15" s="6" t="s">
        <v>305</v>
      </c>
      <c r="B15" s="9" t="s">
        <v>144</v>
      </c>
      <c r="C15" s="9" t="s">
        <v>35</v>
      </c>
      <c r="D15" s="9" t="s">
        <v>115</v>
      </c>
      <c r="E15" s="9" t="s">
        <v>283</v>
      </c>
      <c r="F15" s="9" t="s">
        <v>306</v>
      </c>
      <c r="G15" s="9" t="s">
        <v>307</v>
      </c>
      <c r="H15" s="8" t="str">
        <f t="shared" si="1"/>
        <v>https://www.google.com/search?q=devon%20rex%20cat</v>
      </c>
    </row>
    <row r="16">
      <c r="A16" s="6" t="s">
        <v>308</v>
      </c>
      <c r="B16" s="9" t="s">
        <v>125</v>
      </c>
      <c r="C16" s="9" t="s">
        <v>25</v>
      </c>
      <c r="D16" s="9" t="s">
        <v>309</v>
      </c>
      <c r="E16" s="9" t="s">
        <v>283</v>
      </c>
      <c r="F16" s="9" t="s">
        <v>310</v>
      </c>
      <c r="G16" s="9" t="s">
        <v>311</v>
      </c>
      <c r="H16" s="8" t="str">
        <f t="shared" si="1"/>
        <v>https://www.google.com/search?q=himalayan%20cat</v>
      </c>
    </row>
    <row r="17">
      <c r="A17" s="6" t="s">
        <v>312</v>
      </c>
      <c r="B17" s="9" t="s">
        <v>125</v>
      </c>
      <c r="C17" s="9" t="s">
        <v>25</v>
      </c>
      <c r="D17" s="9" t="s">
        <v>115</v>
      </c>
      <c r="E17" s="9" t="s">
        <v>256</v>
      </c>
      <c r="F17" s="9" t="s">
        <v>313</v>
      </c>
      <c r="G17" s="9" t="s">
        <v>314</v>
      </c>
      <c r="H17" s="8" t="str">
        <f t="shared" si="1"/>
        <v>https://www.google.com/search?q=american%20shorthair%20cat</v>
      </c>
    </row>
    <row r="18">
      <c r="A18" s="6" t="s">
        <v>315</v>
      </c>
      <c r="B18" s="9" t="s">
        <v>125</v>
      </c>
      <c r="C18" s="9" t="s">
        <v>25</v>
      </c>
      <c r="D18" s="9" t="s">
        <v>316</v>
      </c>
      <c r="E18" s="9" t="s">
        <v>54</v>
      </c>
      <c r="F18" s="9" t="s">
        <v>317</v>
      </c>
      <c r="G18" s="9" t="s">
        <v>318</v>
      </c>
      <c r="H18" s="8" t="str">
        <f t="shared" si="1"/>
        <v>https://www.google.com/search?q=exotic%20shorthair%20cat</v>
      </c>
    </row>
    <row r="19">
      <c r="A19" s="6" t="s">
        <v>319</v>
      </c>
      <c r="B19" s="9" t="s">
        <v>320</v>
      </c>
      <c r="C19" s="9" t="s">
        <v>321</v>
      </c>
      <c r="D19" s="9" t="s">
        <v>322</v>
      </c>
      <c r="E19" s="9" t="s">
        <v>323</v>
      </c>
      <c r="F19" s="9" t="s">
        <v>324</v>
      </c>
      <c r="G19" s="9" t="s">
        <v>325</v>
      </c>
      <c r="H19" s="8" t="str">
        <f t="shared" si="1"/>
        <v>https://www.google.com/search?q=turkish%20angora%20cat</v>
      </c>
    </row>
    <row r="20">
      <c r="A20" s="6" t="s">
        <v>326</v>
      </c>
      <c r="B20" s="9" t="s">
        <v>125</v>
      </c>
      <c r="C20" s="9" t="s">
        <v>25</v>
      </c>
      <c r="D20" s="9" t="s">
        <v>327</v>
      </c>
      <c r="E20" s="9" t="s">
        <v>328</v>
      </c>
      <c r="F20" s="9" t="s">
        <v>329</v>
      </c>
      <c r="G20" s="9" t="s">
        <v>330</v>
      </c>
      <c r="H20" s="8" t="str">
        <f t="shared" si="1"/>
        <v>https://www.google.com/search?q=balinese%20cat</v>
      </c>
    </row>
    <row r="21">
      <c r="A21" s="6" t="s">
        <v>331</v>
      </c>
      <c r="B21" s="9" t="s">
        <v>332</v>
      </c>
      <c r="C21" s="9" t="s">
        <v>35</v>
      </c>
      <c r="D21" s="9" t="s">
        <v>115</v>
      </c>
      <c r="E21" s="9" t="s">
        <v>333</v>
      </c>
      <c r="F21" s="9" t="s">
        <v>334</v>
      </c>
      <c r="G21" s="9" t="s">
        <v>335</v>
      </c>
      <c r="H21" s="8" t="str">
        <f t="shared" si="1"/>
        <v>https://www.google.com/search?q=manx%20cat</v>
      </c>
    </row>
    <row r="23">
      <c r="A23" s="10" t="s">
        <v>336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18.13"/>
    <col customWidth="1" min="3" max="3" width="14.5"/>
    <col customWidth="1" min="4" max="4" width="11.63"/>
    <col customWidth="1" min="5" max="5" width="24.5"/>
    <col customWidth="1" min="6" max="6" width="18.88"/>
    <col customWidth="1" min="7" max="7" width="26.5"/>
    <col customWidth="1" min="8" max="9" width="13.63"/>
    <col customWidth="1" min="10" max="10" width="29.0"/>
    <col customWidth="1" min="11" max="12" width="32.25"/>
  </cols>
  <sheetData>
    <row r="1">
      <c r="A1" s="3" t="s">
        <v>337</v>
      </c>
      <c r="B1" s="3" t="s">
        <v>12</v>
      </c>
      <c r="C1" s="3" t="s">
        <v>13</v>
      </c>
      <c r="D1" s="3" t="s">
        <v>14</v>
      </c>
      <c r="E1" s="3" t="s">
        <v>338</v>
      </c>
      <c r="F1" s="3" t="s">
        <v>339</v>
      </c>
      <c r="G1" s="3" t="s">
        <v>340</v>
      </c>
      <c r="H1" s="3" t="s">
        <v>341</v>
      </c>
      <c r="I1" s="3" t="s">
        <v>342</v>
      </c>
      <c r="J1" s="3" t="s">
        <v>15</v>
      </c>
      <c r="K1" s="3" t="s">
        <v>343</v>
      </c>
      <c r="L1" s="3" t="s">
        <v>21</v>
      </c>
    </row>
    <row r="2">
      <c r="A2" s="6">
        <v>1.0</v>
      </c>
      <c r="B2" s="6" t="s">
        <v>344</v>
      </c>
      <c r="C2" s="9" t="s">
        <v>345</v>
      </c>
      <c r="D2" s="9" t="s">
        <v>52</v>
      </c>
      <c r="E2" s="9" t="s">
        <v>346</v>
      </c>
      <c r="F2" s="9" t="s">
        <v>347</v>
      </c>
      <c r="G2" s="9" t="s">
        <v>348</v>
      </c>
      <c r="H2" s="9" t="s">
        <v>349</v>
      </c>
      <c r="I2" s="9" t="s">
        <v>350</v>
      </c>
      <c r="J2" s="9" t="s">
        <v>351</v>
      </c>
      <c r="K2" s="9" t="s">
        <v>352</v>
      </c>
      <c r="L2" s="8" t="str">
        <f t="shared" ref="L2:L21" si="1">concat(CONCAT("https://www.google.com/search?q=",lower(SUBSTITUTE(B2," ","%20"))),"%20horse")</f>
        <v>https://www.google.com/search?q=arabian%20horse</v>
      </c>
    </row>
    <row r="3">
      <c r="A3" s="6">
        <v>2.0</v>
      </c>
      <c r="B3" s="6" t="s">
        <v>353</v>
      </c>
      <c r="C3" s="9" t="s">
        <v>144</v>
      </c>
      <c r="D3" s="9" t="s">
        <v>35</v>
      </c>
      <c r="E3" s="9" t="s">
        <v>354</v>
      </c>
      <c r="F3" s="9" t="s">
        <v>347</v>
      </c>
      <c r="G3" s="9" t="s">
        <v>355</v>
      </c>
      <c r="H3" s="9" t="s">
        <v>356</v>
      </c>
      <c r="I3" s="9" t="s">
        <v>357</v>
      </c>
      <c r="J3" s="9" t="s">
        <v>358</v>
      </c>
      <c r="K3" s="9" t="s">
        <v>359</v>
      </c>
      <c r="L3" s="8" t="str">
        <f t="shared" si="1"/>
        <v>https://www.google.com/search?q=thoroughbred%20horse</v>
      </c>
    </row>
    <row r="4">
      <c r="A4" s="6">
        <v>3.0</v>
      </c>
      <c r="B4" s="6" t="s">
        <v>360</v>
      </c>
      <c r="C4" s="9" t="s">
        <v>125</v>
      </c>
      <c r="D4" s="9" t="s">
        <v>25</v>
      </c>
      <c r="E4" s="9" t="s">
        <v>148</v>
      </c>
      <c r="F4" s="9" t="s">
        <v>347</v>
      </c>
      <c r="G4" s="9" t="s">
        <v>361</v>
      </c>
      <c r="H4" s="9" t="s">
        <v>362</v>
      </c>
      <c r="I4" s="9" t="s">
        <v>363</v>
      </c>
      <c r="J4" s="9" t="s">
        <v>364</v>
      </c>
      <c r="K4" s="9" t="s">
        <v>365</v>
      </c>
      <c r="L4" s="8" t="str">
        <f t="shared" si="1"/>
        <v>https://www.google.com/search?q=quarter%20horse%20horse</v>
      </c>
    </row>
    <row r="5">
      <c r="A5" s="6">
        <v>4.0</v>
      </c>
      <c r="B5" s="6" t="s">
        <v>366</v>
      </c>
      <c r="C5" s="9" t="s">
        <v>125</v>
      </c>
      <c r="D5" s="9" t="s">
        <v>25</v>
      </c>
      <c r="E5" s="9" t="s">
        <v>168</v>
      </c>
      <c r="F5" s="9" t="s">
        <v>347</v>
      </c>
      <c r="G5" s="9" t="s">
        <v>367</v>
      </c>
      <c r="H5" s="9" t="s">
        <v>368</v>
      </c>
      <c r="I5" s="9" t="s">
        <v>369</v>
      </c>
      <c r="J5" s="9" t="s">
        <v>370</v>
      </c>
      <c r="K5" s="9" t="s">
        <v>371</v>
      </c>
      <c r="L5" s="8" t="str">
        <f t="shared" si="1"/>
        <v>https://www.google.com/search?q=appaloosa%20horse</v>
      </c>
    </row>
    <row r="6">
      <c r="A6" s="6">
        <v>5.0</v>
      </c>
      <c r="B6" s="6" t="s">
        <v>372</v>
      </c>
      <c r="C6" s="9" t="s">
        <v>373</v>
      </c>
      <c r="D6" s="9" t="s">
        <v>35</v>
      </c>
      <c r="E6" s="9" t="s">
        <v>101</v>
      </c>
      <c r="F6" s="9" t="s">
        <v>347</v>
      </c>
      <c r="G6" s="9" t="s">
        <v>374</v>
      </c>
      <c r="H6" s="9" t="s">
        <v>375</v>
      </c>
      <c r="I6" s="9" t="s">
        <v>376</v>
      </c>
      <c r="J6" s="9" t="s">
        <v>377</v>
      </c>
      <c r="K6" s="9" t="s">
        <v>378</v>
      </c>
      <c r="L6" s="8" t="str">
        <f t="shared" si="1"/>
        <v>https://www.google.com/search?q=andalusian%20horse</v>
      </c>
    </row>
    <row r="7">
      <c r="A7" s="6">
        <v>6.0</v>
      </c>
      <c r="B7" s="6" t="s">
        <v>379</v>
      </c>
      <c r="C7" s="9" t="s">
        <v>44</v>
      </c>
      <c r="D7" s="9" t="s">
        <v>35</v>
      </c>
      <c r="E7" s="9" t="s">
        <v>380</v>
      </c>
      <c r="F7" s="9" t="s">
        <v>381</v>
      </c>
      <c r="G7" s="9" t="s">
        <v>382</v>
      </c>
      <c r="H7" s="9" t="s">
        <v>383</v>
      </c>
      <c r="I7" s="9" t="s">
        <v>384</v>
      </c>
      <c r="J7" s="9" t="s">
        <v>385</v>
      </c>
      <c r="K7" s="9" t="s">
        <v>386</v>
      </c>
      <c r="L7" s="8" t="str">
        <f t="shared" si="1"/>
        <v>https://www.google.com/search?q=clydesdale%20horse</v>
      </c>
    </row>
    <row r="8">
      <c r="A8" s="6">
        <v>7.0</v>
      </c>
      <c r="B8" s="6" t="s">
        <v>387</v>
      </c>
      <c r="C8" s="9" t="s">
        <v>388</v>
      </c>
      <c r="D8" s="9" t="s">
        <v>35</v>
      </c>
      <c r="E8" s="9" t="s">
        <v>101</v>
      </c>
      <c r="F8" s="9" t="s">
        <v>347</v>
      </c>
      <c r="G8" s="9" t="s">
        <v>389</v>
      </c>
      <c r="H8" s="9" t="s">
        <v>390</v>
      </c>
      <c r="I8" s="9" t="s">
        <v>391</v>
      </c>
      <c r="J8" s="9" t="s">
        <v>392</v>
      </c>
      <c r="K8" s="9" t="s">
        <v>393</v>
      </c>
      <c r="L8" s="8" t="str">
        <f t="shared" si="1"/>
        <v>https://www.google.com/search?q=friesian%20horse</v>
      </c>
    </row>
    <row r="9">
      <c r="A9" s="6">
        <v>8.0</v>
      </c>
      <c r="B9" s="6" t="s">
        <v>394</v>
      </c>
      <c r="C9" s="9" t="s">
        <v>125</v>
      </c>
      <c r="D9" s="9" t="s">
        <v>25</v>
      </c>
      <c r="E9" s="9" t="s">
        <v>395</v>
      </c>
      <c r="F9" s="9" t="s">
        <v>347</v>
      </c>
      <c r="G9" s="9" t="s">
        <v>396</v>
      </c>
      <c r="H9" s="9" t="s">
        <v>375</v>
      </c>
      <c r="I9" s="9" t="s">
        <v>397</v>
      </c>
      <c r="J9" s="9" t="s">
        <v>398</v>
      </c>
      <c r="K9" s="9" t="s">
        <v>399</v>
      </c>
      <c r="L9" s="8" t="str">
        <f t="shared" si="1"/>
        <v>https://www.google.com/search?q=morgan%20horse</v>
      </c>
    </row>
    <row r="10">
      <c r="A10" s="6">
        <v>9.0</v>
      </c>
      <c r="B10" s="6" t="s">
        <v>400</v>
      </c>
      <c r="C10" s="9" t="s">
        <v>125</v>
      </c>
      <c r="D10" s="9" t="s">
        <v>25</v>
      </c>
      <c r="E10" s="9" t="s">
        <v>141</v>
      </c>
      <c r="F10" s="9" t="s">
        <v>347</v>
      </c>
      <c r="G10" s="9" t="s">
        <v>401</v>
      </c>
      <c r="H10" s="9" t="s">
        <v>402</v>
      </c>
      <c r="I10" s="9" t="s">
        <v>403</v>
      </c>
      <c r="J10" s="9" t="s">
        <v>404</v>
      </c>
      <c r="K10" s="9" t="s">
        <v>405</v>
      </c>
      <c r="L10" s="8" t="str">
        <f t="shared" si="1"/>
        <v>https://www.google.com/search?q=tennessee%20walker%20horse</v>
      </c>
    </row>
    <row r="11">
      <c r="A11" s="6">
        <v>10.0</v>
      </c>
      <c r="B11" s="6" t="s">
        <v>406</v>
      </c>
      <c r="C11" s="9" t="s">
        <v>125</v>
      </c>
      <c r="D11" s="9" t="s">
        <v>25</v>
      </c>
      <c r="E11" s="9" t="s">
        <v>407</v>
      </c>
      <c r="F11" s="9" t="s">
        <v>347</v>
      </c>
      <c r="G11" s="9" t="s">
        <v>408</v>
      </c>
      <c r="H11" s="9" t="s">
        <v>362</v>
      </c>
      <c r="I11" s="9" t="s">
        <v>369</v>
      </c>
      <c r="J11" s="9" t="s">
        <v>409</v>
      </c>
      <c r="K11" s="9" t="s">
        <v>410</v>
      </c>
      <c r="L11" s="8" t="str">
        <f t="shared" si="1"/>
        <v>https://www.google.com/search?q=paint%20horse%20horse</v>
      </c>
    </row>
    <row r="12">
      <c r="A12" s="6">
        <v>1.0</v>
      </c>
      <c r="B12" s="6" t="s">
        <v>411</v>
      </c>
      <c r="C12" s="9" t="s">
        <v>74</v>
      </c>
      <c r="D12" s="9" t="s">
        <v>35</v>
      </c>
      <c r="E12" s="9" t="s">
        <v>85</v>
      </c>
      <c r="F12" s="9" t="s">
        <v>381</v>
      </c>
      <c r="G12" s="9" t="s">
        <v>412</v>
      </c>
      <c r="H12" s="9" t="s">
        <v>413</v>
      </c>
      <c r="I12" s="9" t="s">
        <v>414</v>
      </c>
      <c r="J12" s="9" t="s">
        <v>415</v>
      </c>
      <c r="K12" s="9" t="s">
        <v>416</v>
      </c>
      <c r="L12" s="8" t="str">
        <f t="shared" si="1"/>
        <v>https://www.google.com/search?q=shire%20horse</v>
      </c>
    </row>
    <row r="13">
      <c r="A13" s="6">
        <v>2.0</v>
      </c>
      <c r="B13" s="6" t="s">
        <v>417</v>
      </c>
      <c r="C13" s="9" t="s">
        <v>34</v>
      </c>
      <c r="D13" s="9" t="s">
        <v>35</v>
      </c>
      <c r="E13" s="9" t="s">
        <v>168</v>
      </c>
      <c r="F13" s="9" t="s">
        <v>347</v>
      </c>
      <c r="G13" s="9" t="s">
        <v>418</v>
      </c>
      <c r="H13" s="9" t="s">
        <v>419</v>
      </c>
      <c r="I13" s="9" t="s">
        <v>420</v>
      </c>
      <c r="J13" s="9" t="s">
        <v>351</v>
      </c>
      <c r="K13" s="9" t="s">
        <v>421</v>
      </c>
      <c r="L13" s="8" t="str">
        <f t="shared" si="1"/>
        <v>https://www.google.com/search?q=hanoverian%20horse</v>
      </c>
    </row>
    <row r="14">
      <c r="A14" s="6">
        <v>3.0</v>
      </c>
      <c r="B14" s="6" t="s">
        <v>422</v>
      </c>
      <c r="C14" s="9" t="s">
        <v>423</v>
      </c>
      <c r="D14" s="9" t="s">
        <v>35</v>
      </c>
      <c r="E14" s="9" t="s">
        <v>85</v>
      </c>
      <c r="F14" s="9" t="s">
        <v>347</v>
      </c>
      <c r="G14" s="9" t="s">
        <v>424</v>
      </c>
      <c r="H14" s="9" t="s">
        <v>425</v>
      </c>
      <c r="I14" s="9" t="s">
        <v>426</v>
      </c>
      <c r="J14" s="9" t="s">
        <v>427</v>
      </c>
      <c r="K14" s="9" t="s">
        <v>428</v>
      </c>
      <c r="L14" s="8" t="str">
        <f t="shared" si="1"/>
        <v>https://www.google.com/search?q=lipizzan%20horse</v>
      </c>
    </row>
    <row r="15">
      <c r="A15" s="6">
        <v>4.0</v>
      </c>
      <c r="B15" s="6" t="s">
        <v>429</v>
      </c>
      <c r="C15" s="9" t="s">
        <v>125</v>
      </c>
      <c r="D15" s="9" t="s">
        <v>25</v>
      </c>
      <c r="E15" s="9" t="s">
        <v>430</v>
      </c>
      <c r="F15" s="9" t="s">
        <v>431</v>
      </c>
      <c r="G15" s="9" t="s">
        <v>432</v>
      </c>
      <c r="H15" s="9" t="s">
        <v>349</v>
      </c>
      <c r="I15" s="9" t="s">
        <v>433</v>
      </c>
      <c r="J15" s="9" t="s">
        <v>404</v>
      </c>
      <c r="K15" s="9" t="s">
        <v>434</v>
      </c>
      <c r="L15" s="8" t="str">
        <f t="shared" si="1"/>
        <v>https://www.google.com/search?q=mustang%20horse</v>
      </c>
    </row>
    <row r="16">
      <c r="A16" s="6">
        <v>5.0</v>
      </c>
      <c r="B16" s="6" t="s">
        <v>435</v>
      </c>
      <c r="C16" s="9" t="s">
        <v>436</v>
      </c>
      <c r="D16" s="9" t="s">
        <v>35</v>
      </c>
      <c r="E16" s="9" t="s">
        <v>437</v>
      </c>
      <c r="F16" s="9" t="s">
        <v>347</v>
      </c>
      <c r="G16" s="9" t="s">
        <v>438</v>
      </c>
      <c r="H16" s="9" t="s">
        <v>439</v>
      </c>
      <c r="I16" s="9" t="s">
        <v>440</v>
      </c>
      <c r="J16" s="9" t="s">
        <v>441</v>
      </c>
      <c r="K16" s="9" t="s">
        <v>442</v>
      </c>
      <c r="L16" s="8" t="str">
        <f t="shared" si="1"/>
        <v>https://www.google.com/search?q=belgian%20draft%20horse</v>
      </c>
    </row>
    <row r="17">
      <c r="A17" s="6">
        <v>6.0</v>
      </c>
      <c r="B17" s="6" t="s">
        <v>443</v>
      </c>
      <c r="C17" s="9" t="s">
        <v>444</v>
      </c>
      <c r="D17" s="9" t="s">
        <v>35</v>
      </c>
      <c r="E17" s="9" t="s">
        <v>346</v>
      </c>
      <c r="F17" s="9" t="s">
        <v>347</v>
      </c>
      <c r="G17" s="9" t="s">
        <v>445</v>
      </c>
      <c r="H17" s="9" t="s">
        <v>446</v>
      </c>
      <c r="I17" s="9" t="s">
        <v>446</v>
      </c>
      <c r="J17" s="9" t="s">
        <v>404</v>
      </c>
      <c r="K17" s="9" t="s">
        <v>447</v>
      </c>
      <c r="L17" s="8" t="str">
        <f t="shared" si="1"/>
        <v>https://www.google.com/search?q=welsh%20pony%20and%20cob%20horse</v>
      </c>
    </row>
    <row r="18">
      <c r="A18" s="6">
        <v>7.0</v>
      </c>
      <c r="B18" s="6" t="s">
        <v>448</v>
      </c>
      <c r="C18" s="9" t="s">
        <v>449</v>
      </c>
      <c r="D18" s="9" t="s">
        <v>52</v>
      </c>
      <c r="E18" s="9" t="s">
        <v>346</v>
      </c>
      <c r="F18" s="9" t="s">
        <v>381</v>
      </c>
      <c r="G18" s="9" t="s">
        <v>450</v>
      </c>
      <c r="H18" s="9" t="s">
        <v>451</v>
      </c>
      <c r="I18" s="9" t="s">
        <v>452</v>
      </c>
      <c r="J18" s="9" t="s">
        <v>453</v>
      </c>
      <c r="K18" s="9" t="s">
        <v>454</v>
      </c>
      <c r="L18" s="8" t="str">
        <f t="shared" si="1"/>
        <v>https://www.google.com/search?q=akhal-teke%20horse</v>
      </c>
    </row>
    <row r="19">
      <c r="A19" s="6">
        <v>8.0</v>
      </c>
      <c r="B19" s="6" t="s">
        <v>455</v>
      </c>
      <c r="C19" s="9" t="s">
        <v>34</v>
      </c>
      <c r="D19" s="9" t="s">
        <v>35</v>
      </c>
      <c r="E19" s="9" t="s">
        <v>203</v>
      </c>
      <c r="F19" s="9" t="s">
        <v>347</v>
      </c>
      <c r="G19" s="9" t="s">
        <v>456</v>
      </c>
      <c r="H19" s="9" t="s">
        <v>419</v>
      </c>
      <c r="I19" s="9" t="s">
        <v>440</v>
      </c>
      <c r="J19" s="9" t="s">
        <v>457</v>
      </c>
      <c r="K19" s="9" t="s">
        <v>458</v>
      </c>
      <c r="L19" s="8" t="str">
        <f t="shared" si="1"/>
        <v>https://www.google.com/search?q=holsteiner%20horse</v>
      </c>
    </row>
    <row r="20">
      <c r="A20" s="6">
        <v>9.0</v>
      </c>
      <c r="B20" s="6" t="s">
        <v>459</v>
      </c>
      <c r="C20" s="9" t="s">
        <v>460</v>
      </c>
      <c r="D20" s="9" t="s">
        <v>35</v>
      </c>
      <c r="E20" s="9" t="s">
        <v>461</v>
      </c>
      <c r="F20" s="9" t="s">
        <v>347</v>
      </c>
      <c r="G20" s="9" t="s">
        <v>462</v>
      </c>
      <c r="H20" s="9" t="s">
        <v>463</v>
      </c>
      <c r="I20" s="9" t="s">
        <v>464</v>
      </c>
      <c r="J20" s="9" t="s">
        <v>404</v>
      </c>
      <c r="K20" s="9" t="s">
        <v>465</v>
      </c>
      <c r="L20" s="8" t="str">
        <f t="shared" si="1"/>
        <v>https://www.google.com/search?q=icelandic%20horse</v>
      </c>
    </row>
    <row r="21">
      <c r="A21" s="6">
        <v>10.0</v>
      </c>
      <c r="B21" s="6" t="s">
        <v>466</v>
      </c>
      <c r="C21" s="9" t="s">
        <v>74</v>
      </c>
      <c r="D21" s="9" t="s">
        <v>35</v>
      </c>
      <c r="E21" s="9" t="s">
        <v>148</v>
      </c>
      <c r="F21" s="9" t="s">
        <v>467</v>
      </c>
      <c r="G21" s="9" t="s">
        <v>468</v>
      </c>
      <c r="H21" s="9" t="s">
        <v>469</v>
      </c>
      <c r="I21" s="9" t="s">
        <v>470</v>
      </c>
      <c r="J21" s="9" t="s">
        <v>471</v>
      </c>
      <c r="K21" s="9" t="s">
        <v>472</v>
      </c>
      <c r="L21" s="8" t="str">
        <f t="shared" si="1"/>
        <v>https://www.google.com/search?q=cleveland%20bay%20horse</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3" max="3" width="15.63"/>
    <col customWidth="1" min="4" max="4" width="13.13"/>
    <col customWidth="1" min="5" max="5" width="18.63"/>
    <col customWidth="1" min="6" max="6" width="25.5"/>
    <col customWidth="1" min="7" max="7" width="22.0"/>
    <col customWidth="1" min="8" max="8" width="26.25"/>
    <col customWidth="1" min="9" max="9" width="27.63"/>
    <col customWidth="1" min="10" max="10" width="43.13"/>
  </cols>
  <sheetData>
    <row r="1">
      <c r="A1" s="3" t="s">
        <v>473</v>
      </c>
      <c r="B1" s="3" t="s">
        <v>474</v>
      </c>
      <c r="C1" s="3" t="s">
        <v>475</v>
      </c>
      <c r="D1" s="3" t="s">
        <v>476</v>
      </c>
      <c r="E1" s="3" t="s">
        <v>477</v>
      </c>
      <c r="F1" s="3" t="s">
        <v>478</v>
      </c>
      <c r="G1" s="3" t="s">
        <v>479</v>
      </c>
      <c r="H1" s="3" t="s">
        <v>480</v>
      </c>
      <c r="I1" s="3" t="s">
        <v>481</v>
      </c>
      <c r="J1" s="3" t="s">
        <v>21</v>
      </c>
    </row>
    <row r="2">
      <c r="A2" s="6" t="s">
        <v>482</v>
      </c>
      <c r="B2" s="9" t="s">
        <v>483</v>
      </c>
      <c r="C2" s="9" t="s">
        <v>484</v>
      </c>
      <c r="D2" s="9" t="s">
        <v>485</v>
      </c>
      <c r="E2" s="9" t="s">
        <v>486</v>
      </c>
      <c r="F2" s="9" t="s">
        <v>25</v>
      </c>
      <c r="G2" s="9" t="s">
        <v>487</v>
      </c>
      <c r="H2" s="9" t="s">
        <v>488</v>
      </c>
      <c r="I2" s="9" t="s">
        <v>489</v>
      </c>
      <c r="J2" s="11" t="str">
        <f t="shared" ref="J2:J21" si="1">CONCAT("https://www.google.com/search?q=",lower(SUBSTITUTE(A2," ","%20")))</f>
        <v>https://www.google.com/search?q=tyrannosaurus%20rex</v>
      </c>
    </row>
    <row r="3">
      <c r="A3" s="6" t="s">
        <v>490</v>
      </c>
      <c r="B3" s="9" t="s">
        <v>483</v>
      </c>
      <c r="C3" s="9" t="s">
        <v>491</v>
      </c>
      <c r="D3" s="9" t="s">
        <v>490</v>
      </c>
      <c r="E3" s="9" t="s">
        <v>492</v>
      </c>
      <c r="F3" s="9" t="s">
        <v>493</v>
      </c>
      <c r="G3" s="9" t="s">
        <v>494</v>
      </c>
      <c r="H3" s="9" t="s">
        <v>488</v>
      </c>
      <c r="I3" s="9" t="s">
        <v>495</v>
      </c>
      <c r="J3" s="11" t="str">
        <f t="shared" si="1"/>
        <v>https://www.google.com/search?q=velociraptor</v>
      </c>
    </row>
    <row r="4">
      <c r="A4" s="6" t="s">
        <v>496</v>
      </c>
      <c r="B4" s="9" t="s">
        <v>497</v>
      </c>
      <c r="C4" s="9" t="s">
        <v>498</v>
      </c>
      <c r="D4" s="9" t="s">
        <v>496</v>
      </c>
      <c r="E4" s="9" t="s">
        <v>499</v>
      </c>
      <c r="F4" s="9" t="s">
        <v>25</v>
      </c>
      <c r="G4" s="9" t="s">
        <v>500</v>
      </c>
      <c r="H4" s="9" t="s">
        <v>501</v>
      </c>
      <c r="I4" s="9" t="s">
        <v>502</v>
      </c>
      <c r="J4" s="11" t="str">
        <f t="shared" si="1"/>
        <v>https://www.google.com/search?q=triceratops</v>
      </c>
    </row>
    <row r="5">
      <c r="A5" s="6" t="s">
        <v>503</v>
      </c>
      <c r="B5" s="9" t="s">
        <v>504</v>
      </c>
      <c r="C5" s="9" t="s">
        <v>505</v>
      </c>
      <c r="D5" s="9" t="s">
        <v>503</v>
      </c>
      <c r="E5" s="9" t="s">
        <v>506</v>
      </c>
      <c r="F5" s="9" t="s">
        <v>507</v>
      </c>
      <c r="G5" s="9" t="s">
        <v>508</v>
      </c>
      <c r="H5" s="9" t="s">
        <v>501</v>
      </c>
      <c r="I5" s="9" t="s">
        <v>509</v>
      </c>
      <c r="J5" s="11" t="str">
        <f t="shared" si="1"/>
        <v>https://www.google.com/search?q=stegosaurus</v>
      </c>
    </row>
    <row r="6">
      <c r="A6" s="6" t="s">
        <v>510</v>
      </c>
      <c r="B6" s="9" t="s">
        <v>511</v>
      </c>
      <c r="C6" s="9" t="s">
        <v>512</v>
      </c>
      <c r="D6" s="9" t="s">
        <v>510</v>
      </c>
      <c r="E6" s="9" t="s">
        <v>513</v>
      </c>
      <c r="F6" s="9" t="s">
        <v>514</v>
      </c>
      <c r="G6" s="9" t="s">
        <v>508</v>
      </c>
      <c r="H6" s="9" t="s">
        <v>501</v>
      </c>
      <c r="I6" s="9" t="s">
        <v>515</v>
      </c>
      <c r="J6" s="11" t="str">
        <f t="shared" si="1"/>
        <v>https://www.google.com/search?q=brachiosaurus</v>
      </c>
    </row>
    <row r="7">
      <c r="A7" s="6" t="s">
        <v>516</v>
      </c>
      <c r="B7" s="9" t="s">
        <v>483</v>
      </c>
      <c r="C7" s="9" t="s">
        <v>517</v>
      </c>
      <c r="D7" s="9" t="s">
        <v>516</v>
      </c>
      <c r="E7" s="9" t="s">
        <v>518</v>
      </c>
      <c r="F7" s="9" t="s">
        <v>519</v>
      </c>
      <c r="G7" s="9" t="s">
        <v>520</v>
      </c>
      <c r="H7" s="9" t="s">
        <v>521</v>
      </c>
      <c r="I7" s="9" t="s">
        <v>522</v>
      </c>
      <c r="J7" s="11" t="str">
        <f t="shared" si="1"/>
        <v>https://www.google.com/search?q=spinosaurus</v>
      </c>
    </row>
    <row r="8">
      <c r="A8" s="6" t="s">
        <v>523</v>
      </c>
      <c r="B8" s="9" t="s">
        <v>483</v>
      </c>
      <c r="C8" s="9" t="s">
        <v>524</v>
      </c>
      <c r="D8" s="9" t="s">
        <v>523</v>
      </c>
      <c r="E8" s="9" t="s">
        <v>525</v>
      </c>
      <c r="F8" s="9" t="s">
        <v>526</v>
      </c>
      <c r="G8" s="9" t="s">
        <v>527</v>
      </c>
      <c r="H8" s="9" t="s">
        <v>488</v>
      </c>
      <c r="I8" s="9" t="s">
        <v>528</v>
      </c>
      <c r="J8" s="11" t="str">
        <f t="shared" si="1"/>
        <v>https://www.google.com/search?q=allosaurus</v>
      </c>
    </row>
    <row r="9">
      <c r="A9" s="6" t="s">
        <v>529</v>
      </c>
      <c r="B9" s="9" t="s">
        <v>511</v>
      </c>
      <c r="C9" s="9" t="s">
        <v>530</v>
      </c>
      <c r="D9" s="9" t="s">
        <v>529</v>
      </c>
      <c r="E9" s="9" t="s">
        <v>531</v>
      </c>
      <c r="F9" s="9" t="s">
        <v>25</v>
      </c>
      <c r="G9" s="9" t="s">
        <v>500</v>
      </c>
      <c r="H9" s="9" t="s">
        <v>501</v>
      </c>
      <c r="I9" s="9" t="s">
        <v>532</v>
      </c>
      <c r="J9" s="11" t="str">
        <f t="shared" si="1"/>
        <v>https://www.google.com/search?q=diplodocus</v>
      </c>
    </row>
    <row r="10">
      <c r="A10" s="6" t="s">
        <v>533</v>
      </c>
      <c r="B10" s="9" t="s">
        <v>511</v>
      </c>
      <c r="C10" s="9" t="s">
        <v>530</v>
      </c>
      <c r="D10" s="9" t="s">
        <v>533</v>
      </c>
      <c r="E10" s="9" t="s">
        <v>534</v>
      </c>
      <c r="F10" s="9" t="s">
        <v>25</v>
      </c>
      <c r="G10" s="9" t="s">
        <v>500</v>
      </c>
      <c r="H10" s="9" t="s">
        <v>501</v>
      </c>
      <c r="I10" s="9" t="s">
        <v>535</v>
      </c>
      <c r="J10" s="11" t="str">
        <f t="shared" si="1"/>
        <v>https://www.google.com/search?q=apatosaurus</v>
      </c>
    </row>
    <row r="11">
      <c r="A11" s="6" t="s">
        <v>536</v>
      </c>
      <c r="B11" s="9" t="s">
        <v>504</v>
      </c>
      <c r="C11" s="9" t="s">
        <v>537</v>
      </c>
      <c r="D11" s="9" t="s">
        <v>536</v>
      </c>
      <c r="E11" s="9" t="s">
        <v>538</v>
      </c>
      <c r="F11" s="9" t="s">
        <v>25</v>
      </c>
      <c r="G11" s="9" t="s">
        <v>508</v>
      </c>
      <c r="H11" s="9" t="s">
        <v>501</v>
      </c>
      <c r="I11" s="9" t="s">
        <v>509</v>
      </c>
      <c r="J11" s="11" t="str">
        <f t="shared" si="1"/>
        <v>https://www.google.com/search?q=ankylosaurus</v>
      </c>
    </row>
    <row r="12">
      <c r="A12" s="6" t="s">
        <v>539</v>
      </c>
      <c r="B12" s="9" t="s">
        <v>540</v>
      </c>
      <c r="C12" s="9" t="s">
        <v>541</v>
      </c>
      <c r="D12" s="9" t="s">
        <v>539</v>
      </c>
      <c r="E12" s="9" t="s">
        <v>542</v>
      </c>
      <c r="F12" s="9" t="s">
        <v>25</v>
      </c>
      <c r="G12" s="9" t="s">
        <v>500</v>
      </c>
      <c r="H12" s="9" t="s">
        <v>501</v>
      </c>
      <c r="I12" s="9" t="s">
        <v>543</v>
      </c>
      <c r="J12" s="11" t="str">
        <f t="shared" si="1"/>
        <v>https://www.google.com/search?q=parasaurolophus</v>
      </c>
    </row>
    <row r="13">
      <c r="A13" s="6" t="s">
        <v>544</v>
      </c>
      <c r="B13" s="9" t="s">
        <v>540</v>
      </c>
      <c r="C13" s="9" t="s">
        <v>545</v>
      </c>
      <c r="D13" s="9" t="s">
        <v>544</v>
      </c>
      <c r="E13" s="9" t="s">
        <v>546</v>
      </c>
      <c r="F13" s="9" t="s">
        <v>35</v>
      </c>
      <c r="G13" s="9" t="s">
        <v>500</v>
      </c>
      <c r="H13" s="9" t="s">
        <v>501</v>
      </c>
      <c r="I13" s="9" t="s">
        <v>547</v>
      </c>
      <c r="J13" s="11" t="str">
        <f t="shared" si="1"/>
        <v>https://www.google.com/search?q=iguanodon</v>
      </c>
    </row>
    <row r="14">
      <c r="A14" s="6" t="s">
        <v>548</v>
      </c>
      <c r="B14" s="9" t="s">
        <v>483</v>
      </c>
      <c r="C14" s="9" t="s">
        <v>549</v>
      </c>
      <c r="D14" s="9" t="s">
        <v>548</v>
      </c>
      <c r="E14" s="9" t="s">
        <v>550</v>
      </c>
      <c r="F14" s="9" t="s">
        <v>551</v>
      </c>
      <c r="G14" s="9" t="s">
        <v>508</v>
      </c>
      <c r="H14" s="9" t="s">
        <v>488</v>
      </c>
      <c r="I14" s="9" t="s">
        <v>509</v>
      </c>
      <c r="J14" s="11" t="str">
        <f t="shared" si="1"/>
        <v>https://www.google.com/search?q=carnotaurus</v>
      </c>
    </row>
    <row r="15">
      <c r="A15" s="6" t="s">
        <v>552</v>
      </c>
      <c r="B15" s="9" t="s">
        <v>483</v>
      </c>
      <c r="C15" s="9" t="s">
        <v>491</v>
      </c>
      <c r="D15" s="9" t="s">
        <v>552</v>
      </c>
      <c r="E15" s="9" t="s">
        <v>553</v>
      </c>
      <c r="F15" s="9" t="s">
        <v>25</v>
      </c>
      <c r="G15" s="9" t="s">
        <v>494</v>
      </c>
      <c r="H15" s="9" t="s">
        <v>488</v>
      </c>
      <c r="I15" s="9" t="s">
        <v>554</v>
      </c>
      <c r="J15" s="11" t="str">
        <f t="shared" si="1"/>
        <v>https://www.google.com/search?q=deinonychus</v>
      </c>
    </row>
    <row r="16">
      <c r="A16" s="6" t="s">
        <v>555</v>
      </c>
      <c r="B16" s="9" t="s">
        <v>483</v>
      </c>
      <c r="C16" s="9" t="s">
        <v>556</v>
      </c>
      <c r="D16" s="9" t="s">
        <v>555</v>
      </c>
      <c r="E16" s="9" t="s">
        <v>557</v>
      </c>
      <c r="F16" s="9" t="s">
        <v>551</v>
      </c>
      <c r="G16" s="9" t="s">
        <v>508</v>
      </c>
      <c r="H16" s="9" t="s">
        <v>488</v>
      </c>
      <c r="I16" s="9" t="s">
        <v>558</v>
      </c>
      <c r="J16" s="11" t="str">
        <f t="shared" si="1"/>
        <v>https://www.google.com/search?q=giganotosaurus</v>
      </c>
    </row>
    <row r="17">
      <c r="A17" s="6" t="s">
        <v>559</v>
      </c>
      <c r="B17" s="9" t="s">
        <v>540</v>
      </c>
      <c r="C17" s="9" t="s">
        <v>541</v>
      </c>
      <c r="D17" s="9" t="s">
        <v>559</v>
      </c>
      <c r="E17" s="9" t="s">
        <v>560</v>
      </c>
      <c r="F17" s="9" t="s">
        <v>25</v>
      </c>
      <c r="G17" s="9" t="s">
        <v>561</v>
      </c>
      <c r="H17" s="9" t="s">
        <v>501</v>
      </c>
      <c r="I17" s="9" t="s">
        <v>509</v>
      </c>
      <c r="J17" s="11" t="str">
        <f t="shared" si="1"/>
        <v>https://www.google.com/search?q=maiasaura</v>
      </c>
    </row>
    <row r="18">
      <c r="A18" s="6" t="s">
        <v>562</v>
      </c>
      <c r="B18" s="9" t="s">
        <v>563</v>
      </c>
      <c r="C18" s="9" t="s">
        <v>564</v>
      </c>
      <c r="D18" s="9" t="s">
        <v>562</v>
      </c>
      <c r="E18" s="9" t="s">
        <v>565</v>
      </c>
      <c r="F18" s="9" t="s">
        <v>25</v>
      </c>
      <c r="G18" s="9" t="s">
        <v>566</v>
      </c>
      <c r="H18" s="9" t="s">
        <v>501</v>
      </c>
      <c r="I18" s="9" t="s">
        <v>567</v>
      </c>
      <c r="J18" s="11" t="str">
        <f t="shared" si="1"/>
        <v>https://www.google.com/search?q=pachycephalosaurus</v>
      </c>
    </row>
    <row r="19">
      <c r="A19" s="6" t="s">
        <v>568</v>
      </c>
      <c r="B19" s="9" t="s">
        <v>497</v>
      </c>
      <c r="C19" s="9" t="s">
        <v>498</v>
      </c>
      <c r="D19" s="9" t="s">
        <v>568</v>
      </c>
      <c r="E19" s="9" t="s">
        <v>569</v>
      </c>
      <c r="F19" s="9" t="s">
        <v>25</v>
      </c>
      <c r="G19" s="9" t="s">
        <v>500</v>
      </c>
      <c r="H19" s="9" t="s">
        <v>501</v>
      </c>
      <c r="I19" s="9" t="s">
        <v>570</v>
      </c>
      <c r="J19" s="11" t="str">
        <f t="shared" si="1"/>
        <v>https://www.google.com/search?q=styracosaurus</v>
      </c>
    </row>
    <row r="20">
      <c r="A20" s="6" t="s">
        <v>571</v>
      </c>
      <c r="B20" s="9" t="s">
        <v>483</v>
      </c>
      <c r="C20" s="9" t="s">
        <v>572</v>
      </c>
      <c r="D20" s="9" t="s">
        <v>571</v>
      </c>
      <c r="E20" s="9" t="s">
        <v>573</v>
      </c>
      <c r="F20" s="9" t="s">
        <v>35</v>
      </c>
      <c r="G20" s="9" t="s">
        <v>508</v>
      </c>
      <c r="H20" s="9" t="s">
        <v>488</v>
      </c>
      <c r="I20" s="9" t="s">
        <v>574</v>
      </c>
      <c r="J20" s="11" t="str">
        <f t="shared" si="1"/>
        <v>https://www.google.com/search?q=compsognathus</v>
      </c>
    </row>
    <row r="21">
      <c r="A21" s="6" t="s">
        <v>575</v>
      </c>
      <c r="B21" s="9" t="s">
        <v>483</v>
      </c>
      <c r="C21" s="9" t="s">
        <v>576</v>
      </c>
      <c r="D21" s="9" t="s">
        <v>575</v>
      </c>
      <c r="E21" s="9" t="s">
        <v>577</v>
      </c>
      <c r="F21" s="9" t="s">
        <v>493</v>
      </c>
      <c r="G21" s="9" t="s">
        <v>508</v>
      </c>
      <c r="H21" s="9" t="s">
        <v>578</v>
      </c>
      <c r="I21" s="9" t="s">
        <v>579</v>
      </c>
      <c r="J21" s="11" t="str">
        <f t="shared" si="1"/>
        <v>https://www.google.com/search?q=oviraptor</v>
      </c>
    </row>
  </sheetData>
  <drawing r:id="rId1"/>
</worksheet>
</file>